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91430024\Desktop\"/>
    </mc:Choice>
  </mc:AlternateContent>
  <xr:revisionPtr revIDLastSave="0" documentId="13_ncr:1_{AB95DFB7-759C-4F6C-9C88-B498900C5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oCaoTong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Y2" i="1"/>
  <c r="Y6" i="1"/>
  <c r="Y3" i="1"/>
  <c r="Y4" i="1"/>
  <c r="Y5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W2" i="1"/>
  <c r="X2" i="1" s="1"/>
  <c r="X31" i="1"/>
  <c r="W31" i="1"/>
  <c r="E31" i="1"/>
  <c r="X30" i="1"/>
  <c r="W30" i="1"/>
  <c r="E30" i="1"/>
  <c r="X29" i="1"/>
  <c r="W29" i="1"/>
  <c r="E29" i="1"/>
  <c r="X28" i="1"/>
  <c r="W28" i="1"/>
  <c r="E28" i="1"/>
  <c r="X27" i="1"/>
  <c r="W27" i="1"/>
  <c r="E27" i="1"/>
  <c r="X26" i="1"/>
  <c r="W26" i="1"/>
  <c r="E26" i="1"/>
  <c r="X25" i="1"/>
  <c r="W25" i="1"/>
  <c r="E25" i="1"/>
  <c r="X24" i="1"/>
  <c r="W24" i="1"/>
  <c r="E24" i="1"/>
  <c r="X23" i="1"/>
  <c r="W23" i="1"/>
  <c r="E23" i="1"/>
  <c r="X22" i="1"/>
  <c r="W22" i="1"/>
  <c r="E22" i="1"/>
  <c r="X21" i="1"/>
  <c r="W21" i="1"/>
  <c r="E21" i="1"/>
  <c r="X20" i="1"/>
  <c r="W20" i="1"/>
  <c r="E20" i="1"/>
  <c r="X19" i="1"/>
  <c r="W19" i="1"/>
  <c r="E19" i="1"/>
  <c r="X18" i="1"/>
  <c r="W18" i="1"/>
  <c r="E18" i="1"/>
  <c r="X17" i="1"/>
  <c r="W17" i="1"/>
  <c r="E17" i="1"/>
  <c r="X16" i="1"/>
  <c r="W16" i="1"/>
  <c r="E16" i="1"/>
  <c r="X15" i="1"/>
  <c r="W15" i="1"/>
  <c r="E15" i="1"/>
  <c r="X14" i="1"/>
  <c r="W14" i="1"/>
  <c r="E14" i="1"/>
  <c r="X13" i="1"/>
  <c r="W13" i="1"/>
  <c r="E13" i="1"/>
  <c r="X12" i="1"/>
  <c r="W12" i="1"/>
  <c r="E12" i="1"/>
  <c r="X11" i="1"/>
  <c r="W11" i="1"/>
  <c r="E11" i="1"/>
  <c r="X10" i="1"/>
  <c r="W10" i="1"/>
  <c r="E10" i="1"/>
  <c r="X9" i="1"/>
  <c r="W9" i="1"/>
  <c r="X8" i="1"/>
  <c r="W8" i="1"/>
  <c r="W7" i="1"/>
  <c r="X7" i="1" s="1"/>
  <c r="W6" i="1"/>
  <c r="X6" i="1" s="1"/>
  <c r="W5" i="1"/>
  <c r="X5" i="1" s="1"/>
  <c r="W4" i="1"/>
  <c r="X4" i="1" s="1"/>
  <c r="W3" i="1"/>
  <c r="X3" i="1" s="1"/>
</calcChain>
</file>

<file path=xl/sharedStrings.xml><?xml version="1.0" encoding="utf-8"?>
<sst xmlns="http://schemas.openxmlformats.org/spreadsheetml/2006/main" count="34" uniqueCount="34">
  <si>
    <t>UPH</t>
  </si>
  <si>
    <t>Dừng máy(phút)</t>
  </si>
  <si>
    <t>Lý do dừng</t>
  </si>
  <si>
    <t>Ghi chú</t>
  </si>
  <si>
    <r>
      <rPr>
        <sz val="11"/>
        <rFont val="宋体"/>
        <family val="1"/>
        <charset val="134"/>
      </rPr>
      <t>喇叭</t>
    </r>
    <phoneticPr fontId="4" type="noConversion"/>
  </si>
  <si>
    <r>
      <rPr>
        <sz val="11"/>
        <rFont val="宋体"/>
        <family val="1"/>
        <charset val="134"/>
      </rPr>
      <t>麦克风</t>
    </r>
    <phoneticPr fontId="4" type="noConversion"/>
  </si>
  <si>
    <r>
      <rPr>
        <sz val="11"/>
        <rFont val="宋体"/>
        <family val="1"/>
        <charset val="134"/>
      </rPr>
      <t>控制盒</t>
    </r>
    <phoneticPr fontId="4" type="noConversion"/>
  </si>
  <si>
    <r>
      <rPr>
        <sz val="11"/>
        <rFont val="宋体"/>
        <family val="1"/>
        <charset val="134"/>
      </rPr>
      <t>头戴</t>
    </r>
    <phoneticPr fontId="4" type="noConversion"/>
  </si>
  <si>
    <r>
      <rPr>
        <sz val="11"/>
        <rFont val="宋体"/>
        <family val="1"/>
        <charset val="134"/>
      </rPr>
      <t>组装</t>
    </r>
    <phoneticPr fontId="4" type="noConversion"/>
  </si>
  <si>
    <r>
      <rPr>
        <sz val="11"/>
        <rFont val="宋体"/>
        <family val="1"/>
        <charset val="134"/>
      </rPr>
      <t>包装</t>
    </r>
    <phoneticPr fontId="4" type="noConversion"/>
  </si>
  <si>
    <r>
      <t xml:space="preserve">NGÀY
</t>
    </r>
    <r>
      <rPr>
        <b/>
        <sz val="11"/>
        <rFont val="宋体"/>
        <family val="1"/>
        <charset val="134"/>
      </rPr>
      <t>月</t>
    </r>
    <phoneticPr fontId="4" type="noConversion"/>
  </si>
  <si>
    <r>
      <t xml:space="preserve">Mã hàng
</t>
    </r>
    <r>
      <rPr>
        <b/>
        <sz val="11"/>
        <rFont val="宋体"/>
        <family val="1"/>
        <charset val="134"/>
      </rPr>
      <t>产品</t>
    </r>
    <phoneticPr fontId="4" type="noConversion"/>
  </si>
  <si>
    <r>
      <t xml:space="preserve">Nhân lực 
</t>
    </r>
    <r>
      <rPr>
        <b/>
        <sz val="11"/>
        <rFont val="宋体"/>
        <family val="1"/>
        <charset val="134"/>
      </rPr>
      <t>人力</t>
    </r>
    <phoneticPr fontId="4" type="noConversion"/>
  </si>
  <si>
    <r>
      <t xml:space="preserve">Đi làm
</t>
    </r>
    <r>
      <rPr>
        <b/>
        <sz val="11"/>
        <rFont val="宋体"/>
        <family val="1"/>
        <charset val="134"/>
      </rPr>
      <t>上班</t>
    </r>
    <phoneticPr fontId="4" type="noConversion"/>
  </si>
  <si>
    <r>
      <t xml:space="preserve">Thiếu
</t>
    </r>
    <r>
      <rPr>
        <b/>
        <sz val="11"/>
        <rFont val="宋体"/>
        <family val="1"/>
        <charset val="134"/>
      </rPr>
      <t>小</t>
    </r>
    <phoneticPr fontId="4" type="noConversion"/>
  </si>
  <si>
    <r>
      <t xml:space="preserve">Kế hoạch
</t>
    </r>
    <r>
      <rPr>
        <b/>
        <sz val="11"/>
        <rFont val="宋体"/>
        <family val="1"/>
        <charset val="134"/>
      </rPr>
      <t>企划</t>
    </r>
    <phoneticPr fontId="4" type="noConversion"/>
  </si>
  <si>
    <r>
      <t xml:space="preserve">Thực tế
</t>
    </r>
    <r>
      <rPr>
        <b/>
        <sz val="11"/>
        <rFont val="宋体"/>
        <family val="1"/>
        <charset val="134"/>
      </rPr>
      <t>实际</t>
    </r>
    <phoneticPr fontId="4" type="noConversion"/>
  </si>
  <si>
    <r>
      <t xml:space="preserve">% Đạt
</t>
    </r>
    <r>
      <rPr>
        <b/>
        <sz val="11"/>
        <rFont val="宋体"/>
        <family val="1"/>
        <charset val="134"/>
      </rPr>
      <t>达到</t>
    </r>
    <phoneticPr fontId="4" type="noConversion"/>
  </si>
  <si>
    <r>
      <t xml:space="preserve">Giờ Công
</t>
    </r>
    <r>
      <rPr>
        <b/>
        <sz val="10"/>
        <rFont val="宋体"/>
        <family val="1"/>
        <charset val="134"/>
      </rPr>
      <t>公式</t>
    </r>
    <phoneticPr fontId="4" type="noConversion"/>
  </si>
  <si>
    <r>
      <rPr>
        <b/>
        <sz val="11"/>
        <color rgb="FFFF0000"/>
        <rFont val="Times New Roman"/>
        <family val="1"/>
      </rPr>
      <t>NG</t>
    </r>
    <r>
      <rPr>
        <b/>
        <sz val="11"/>
        <rFont val="Times New Roman"/>
        <family val="1"/>
      </rPr>
      <t xml:space="preserve"> Tổng</t>
    </r>
    <phoneticPr fontId="4" type="noConversion"/>
  </si>
  <si>
    <r>
      <t xml:space="preserve">Tỷ lệ </t>
    </r>
    <r>
      <rPr>
        <b/>
        <sz val="11"/>
        <color rgb="FFFF0000"/>
        <rFont val="Times New Roman"/>
        <family val="1"/>
      </rPr>
      <t>NG</t>
    </r>
    <phoneticPr fontId="4" type="noConversion"/>
  </si>
  <si>
    <t>PCBA</t>
    <phoneticPr fontId="4" type="noConversion"/>
  </si>
  <si>
    <t>THD</t>
    <phoneticPr fontId="4" type="noConversion"/>
  </si>
  <si>
    <t>NOMALI</t>
    <phoneticPr fontId="4" type="noConversion"/>
  </si>
  <si>
    <t>LỎM LOA</t>
    <phoneticPr fontId="4" type="noConversion"/>
  </si>
  <si>
    <t>HỞ NẮP</t>
    <phoneticPr fontId="4" type="noConversion"/>
  </si>
  <si>
    <t>ĐỨT DÂY</t>
    <phoneticPr fontId="4" type="noConversion"/>
  </si>
  <si>
    <r>
      <t xml:space="preserve">TCGC
</t>
    </r>
    <r>
      <rPr>
        <b/>
        <sz val="11"/>
        <rFont val="宋体"/>
        <family val="1"/>
        <charset val="134"/>
      </rPr>
      <t>标准工时</t>
    </r>
    <phoneticPr fontId="4" type="noConversion"/>
  </si>
  <si>
    <r>
      <t xml:space="preserve">HIỆU XUẤT 
</t>
    </r>
    <r>
      <rPr>
        <b/>
        <sz val="10"/>
        <rFont val="宋体"/>
        <family val="1"/>
        <charset val="134"/>
      </rPr>
      <t>效率</t>
    </r>
    <phoneticPr fontId="4" type="noConversion"/>
  </si>
  <si>
    <r>
      <t xml:space="preserve">CÔNG NĂNG
</t>
    </r>
    <r>
      <rPr>
        <b/>
        <sz val="9"/>
        <color rgb="FFFF0000"/>
        <rFont val="宋体"/>
        <family val="1"/>
        <charset val="134"/>
      </rPr>
      <t>功能</t>
    </r>
    <r>
      <rPr>
        <b/>
        <sz val="9"/>
        <color rgb="FFFF0000"/>
        <rFont val="Times New Roman"/>
        <family val="1"/>
      </rPr>
      <t xml:space="preserve"> </t>
    </r>
    <phoneticPr fontId="4" type="noConversion"/>
  </si>
  <si>
    <r>
      <t xml:space="preserve"> ÂM THANH
</t>
    </r>
    <r>
      <rPr>
        <b/>
        <sz val="9"/>
        <color rgb="FFFF0000"/>
        <rFont val="宋体"/>
        <family val="1"/>
        <charset val="134"/>
      </rPr>
      <t>音频测试</t>
    </r>
    <phoneticPr fontId="4" type="noConversion"/>
  </si>
  <si>
    <r>
      <t xml:space="preserve">XƯỚC
</t>
    </r>
    <r>
      <rPr>
        <b/>
        <sz val="9"/>
        <color rgb="FFFF0000"/>
        <rFont val="宋体"/>
        <family val="1"/>
        <charset val="134"/>
      </rPr>
      <t>划伤</t>
    </r>
    <phoneticPr fontId="4" type="noConversion"/>
  </si>
  <si>
    <r>
      <t xml:space="preserve">Mẻ 
</t>
    </r>
    <r>
      <rPr>
        <b/>
        <sz val="9"/>
        <color rgb="FFFF0000"/>
        <rFont val="宋体"/>
        <family val="1"/>
        <charset val="134"/>
      </rPr>
      <t>崩边</t>
    </r>
    <phoneticPr fontId="4" type="noConversion"/>
  </si>
  <si>
    <r>
      <t xml:space="preserve">DÂY 
</t>
    </r>
    <r>
      <rPr>
        <b/>
        <sz val="9"/>
        <color rgb="FFFF0000"/>
        <rFont val="宋体"/>
        <family val="1"/>
        <charset val="134"/>
      </rPr>
      <t>想材</t>
    </r>
    <r>
      <rPr>
        <b/>
        <sz val="9"/>
        <color rgb="FFFF0000"/>
        <rFont val="Times New Roman"/>
        <family val="1"/>
      </rPr>
      <t xml:space="preserve"> USB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</si>
</sst>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);[Red]\(0.00\)"/>
  </numFmts>
  <fonts count="1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name val="宋体"/>
      <family val="1"/>
      <charset val="134"/>
    </font>
    <font>
      <b/>
      <sz val="11"/>
      <name val="宋体"/>
      <family val="1"/>
      <charset val="134"/>
    </font>
    <font>
      <b/>
      <sz val="10"/>
      <name val="Times New Roman"/>
      <family val="1"/>
    </font>
    <font>
      <b/>
      <sz val="10"/>
      <name val="宋体"/>
      <family val="1"/>
      <charset val="134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FF000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workbookViewId="0">
      <pane xSplit="11" ySplit="1" topLeftCell="L2" activePane="bottomRight" state="frozen"/>
      <selection pane="topRight" activeCell="J1" sqref="J1"/>
      <selection pane="bottomLeft" activeCell="A2" sqref="A2"/>
      <selection pane="bottomRight" activeCell="C15" sqref="C15"/>
    </sheetView>
  </sheetViews>
  <sheetFormatPr defaultRowHeight="13.8" x14ac:dyDescent="0.25"/>
  <cols>
    <col min="1" max="1" width="7.77734375" style="1" customWidth="1"/>
    <col min="2" max="2" width="10.33203125" style="1" customWidth="1"/>
    <col min="3" max="3" width="8.88671875" style="1" customWidth="1"/>
    <col min="4" max="4" width="8.109375" style="1" customWidth="1"/>
    <col min="5" max="5" width="7.5546875" style="1" customWidth="1"/>
    <col min="6" max="6" width="9.6640625" style="1" customWidth="1"/>
    <col min="7" max="8" width="8.109375" style="1" customWidth="1"/>
    <col min="9" max="10" width="9.44140625" style="1" customWidth="1"/>
    <col min="11" max="12" width="8.88671875" style="1"/>
    <col min="13" max="13" width="9.77734375" style="1" customWidth="1"/>
    <col min="14" max="14" width="7.88671875" style="1" customWidth="1"/>
    <col min="15" max="15" width="7" style="1" customWidth="1"/>
    <col min="16" max="16" width="8" style="1" customWidth="1"/>
    <col min="17" max="17" width="7.5546875" style="1" customWidth="1"/>
    <col min="18" max="18" width="7.44140625" style="1" customWidth="1"/>
    <col min="19" max="19" width="10" style="1" customWidth="1"/>
    <col min="20" max="20" width="8.109375" style="1" customWidth="1"/>
    <col min="21" max="23" width="8.88671875" style="1"/>
    <col min="24" max="24" width="8.88671875" style="5"/>
    <col min="25" max="25" width="10.109375" style="6" customWidth="1"/>
    <col min="26" max="26" width="19.109375" style="1" customWidth="1"/>
    <col min="27" max="27" width="14.5546875" style="1" customWidth="1"/>
    <col min="28" max="16384" width="8.88671875" style="1"/>
  </cols>
  <sheetData>
    <row r="1" spans="1:28" ht="90.6" customHeight="1" x14ac:dyDescent="0.25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27</v>
      </c>
      <c r="I1" s="12" t="s">
        <v>18</v>
      </c>
      <c r="J1" s="12" t="s">
        <v>28</v>
      </c>
      <c r="K1" s="11" t="s">
        <v>17</v>
      </c>
      <c r="L1" s="14" t="s">
        <v>29</v>
      </c>
      <c r="M1" s="14" t="s">
        <v>30</v>
      </c>
      <c r="N1" s="14" t="s">
        <v>31</v>
      </c>
      <c r="O1" s="14" t="s">
        <v>32</v>
      </c>
      <c r="P1" s="14" t="s">
        <v>33</v>
      </c>
      <c r="Q1" s="13" t="s">
        <v>21</v>
      </c>
      <c r="R1" s="13" t="s">
        <v>22</v>
      </c>
      <c r="S1" s="13" t="s">
        <v>24</v>
      </c>
      <c r="T1" s="13" t="s">
        <v>25</v>
      </c>
      <c r="U1" s="13" t="s">
        <v>23</v>
      </c>
      <c r="V1" s="13" t="s">
        <v>26</v>
      </c>
      <c r="W1" s="2" t="s">
        <v>19</v>
      </c>
      <c r="X1" s="3" t="s">
        <v>20</v>
      </c>
      <c r="Y1" s="4" t="s">
        <v>0</v>
      </c>
      <c r="Z1" s="2" t="s">
        <v>1</v>
      </c>
      <c r="AA1" s="2" t="s">
        <v>2</v>
      </c>
      <c r="AB1" s="2" t="s">
        <v>3</v>
      </c>
    </row>
    <row r="2" spans="1:28" ht="14.4" x14ac:dyDescent="0.25">
      <c r="A2" s="19">
        <v>46233</v>
      </c>
      <c r="B2" s="15" t="s">
        <v>4</v>
      </c>
      <c r="C2" s="7">
        <v>18</v>
      </c>
      <c r="D2" s="7">
        <v>16</v>
      </c>
      <c r="E2" s="7">
        <f t="shared" ref="E2:E31" si="0">C2-D2</f>
        <v>2</v>
      </c>
      <c r="F2" s="7">
        <v>1300</v>
      </c>
      <c r="G2" s="7">
        <v>1100</v>
      </c>
      <c r="H2" s="7">
        <v>173</v>
      </c>
      <c r="I2" s="7">
        <v>100</v>
      </c>
      <c r="J2" s="9">
        <f>G2*H2/3600/I2</f>
        <v>0.52861111111111114</v>
      </c>
      <c r="K2" s="9">
        <f>IF(F2=0,0,G2/F2)</f>
        <v>0.84615384615384615</v>
      </c>
      <c r="L2" s="7"/>
      <c r="M2" s="16"/>
      <c r="N2" s="16"/>
      <c r="O2" s="16"/>
      <c r="P2" s="16"/>
      <c r="Q2" s="16"/>
      <c r="R2" s="16"/>
      <c r="S2" s="16"/>
      <c r="T2" s="16"/>
      <c r="U2" s="16"/>
      <c r="V2" s="16"/>
      <c r="W2" s="7">
        <f>SUM(L2:V2)</f>
        <v>0</v>
      </c>
      <c r="X2" s="9">
        <f t="shared" ref="X2:X31" si="1">IF(G2=0,0,W2/G2)</f>
        <v>0</v>
      </c>
      <c r="Y2" s="10">
        <f>IF(G2=0,0,G2/I2)</f>
        <v>11</v>
      </c>
    </row>
    <row r="3" spans="1:28" ht="14.4" x14ac:dyDescent="0.25">
      <c r="A3" s="20"/>
      <c r="B3" s="15" t="s">
        <v>5</v>
      </c>
      <c r="C3" s="18"/>
      <c r="D3" s="7"/>
      <c r="E3" s="7">
        <f t="shared" si="0"/>
        <v>0</v>
      </c>
      <c r="F3" s="7"/>
      <c r="G3" s="7">
        <v>1950</v>
      </c>
      <c r="H3" s="7">
        <v>367</v>
      </c>
      <c r="I3" s="7">
        <v>190</v>
      </c>
      <c r="J3" s="9">
        <f t="shared" ref="J3:J31" si="2">G3*H3/3600/I3</f>
        <v>1.0462719298245613</v>
      </c>
      <c r="K3" s="9">
        <f t="shared" ref="K3:K31" si="3">IF(F3=0,0,G3/F3)</f>
        <v>0</v>
      </c>
      <c r="L3" s="7"/>
      <c r="M3" s="16"/>
      <c r="N3" s="16"/>
      <c r="O3" s="16"/>
      <c r="P3" s="16"/>
      <c r="Q3" s="16"/>
      <c r="R3" s="16"/>
      <c r="S3" s="16"/>
      <c r="T3" s="16"/>
      <c r="U3" s="16"/>
      <c r="V3" s="16"/>
      <c r="W3" s="7">
        <f t="shared" ref="W3:W31" si="4">SUM(L3:V3)</f>
        <v>0</v>
      </c>
      <c r="X3" s="9">
        <f t="shared" si="1"/>
        <v>0</v>
      </c>
      <c r="Y3" s="10">
        <f>IF(G3=0,0,G3/I3)</f>
        <v>10.263157894736842</v>
      </c>
    </row>
    <row r="4" spans="1:28" ht="14.4" x14ac:dyDescent="0.25">
      <c r="A4" s="20"/>
      <c r="B4" s="15" t="s">
        <v>6</v>
      </c>
      <c r="C4" s="18"/>
      <c r="D4" s="7"/>
      <c r="E4" s="7">
        <f t="shared" si="0"/>
        <v>0</v>
      </c>
      <c r="F4" s="7"/>
      <c r="G4" s="7">
        <v>1642</v>
      </c>
      <c r="H4" s="7">
        <v>950</v>
      </c>
      <c r="I4" s="7">
        <v>287</v>
      </c>
      <c r="J4" s="9">
        <f t="shared" si="2"/>
        <v>1.5097754548974061</v>
      </c>
      <c r="K4" s="9">
        <f t="shared" si="3"/>
        <v>0</v>
      </c>
      <c r="L4" s="7"/>
      <c r="M4" s="16"/>
      <c r="N4" s="16"/>
      <c r="O4" s="16"/>
      <c r="P4" s="16"/>
      <c r="Q4" s="16"/>
      <c r="R4" s="16"/>
      <c r="S4" s="16"/>
      <c r="T4" s="16"/>
      <c r="U4" s="16"/>
      <c r="V4" s="16"/>
      <c r="W4" s="7">
        <f t="shared" si="4"/>
        <v>0</v>
      </c>
      <c r="X4" s="9">
        <f t="shared" si="1"/>
        <v>0</v>
      </c>
      <c r="Y4" s="10">
        <f>IF(G4=0,0,G4/I4)</f>
        <v>5.7212543554006965</v>
      </c>
    </row>
    <row r="5" spans="1:28" ht="14.4" x14ac:dyDescent="0.25">
      <c r="A5" s="20"/>
      <c r="B5" s="15" t="s">
        <v>7</v>
      </c>
      <c r="C5" s="18"/>
      <c r="D5" s="7"/>
      <c r="E5" s="7">
        <f t="shared" si="0"/>
        <v>0</v>
      </c>
      <c r="F5" s="7"/>
      <c r="G5" s="7">
        <v>1700</v>
      </c>
      <c r="H5" s="7">
        <v>259</v>
      </c>
      <c r="I5" s="7">
        <v>95</v>
      </c>
      <c r="J5" s="9">
        <f t="shared" si="2"/>
        <v>1.2874269005847954</v>
      </c>
      <c r="K5" s="9">
        <f t="shared" si="3"/>
        <v>0</v>
      </c>
      <c r="L5" s="7"/>
      <c r="M5" s="16"/>
      <c r="N5" s="16"/>
      <c r="O5" s="16"/>
      <c r="P5" s="16"/>
      <c r="Q5" s="16"/>
      <c r="R5" s="16"/>
      <c r="S5" s="16"/>
      <c r="T5" s="16"/>
      <c r="U5" s="16"/>
      <c r="V5" s="16"/>
      <c r="W5" s="7">
        <f t="shared" si="4"/>
        <v>0</v>
      </c>
      <c r="X5" s="9">
        <f t="shared" si="1"/>
        <v>0</v>
      </c>
      <c r="Y5" s="10">
        <f>IF(G5=0,0,G5/I5)</f>
        <v>17.894736842105264</v>
      </c>
    </row>
    <row r="6" spans="1:28" ht="14.4" x14ac:dyDescent="0.25">
      <c r="A6" s="20"/>
      <c r="B6" s="15" t="s">
        <v>8</v>
      </c>
      <c r="C6" s="18"/>
      <c r="D6" s="7"/>
      <c r="E6" s="7">
        <f t="shared" si="0"/>
        <v>0</v>
      </c>
      <c r="F6" s="7"/>
      <c r="G6" s="7">
        <v>2100</v>
      </c>
      <c r="H6" s="7">
        <v>1663</v>
      </c>
      <c r="I6" s="7">
        <v>732</v>
      </c>
      <c r="J6" s="9">
        <f t="shared" si="2"/>
        <v>1.3252504553734064</v>
      </c>
      <c r="K6" s="8">
        <f t="shared" si="3"/>
        <v>0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7">
        <f t="shared" si="4"/>
        <v>0</v>
      </c>
      <c r="X6" s="9">
        <f t="shared" si="1"/>
        <v>0</v>
      </c>
      <c r="Y6" s="10">
        <f>IF(I6=0,0,G6/I6)</f>
        <v>2.8688524590163933</v>
      </c>
    </row>
    <row r="7" spans="1:28" ht="14.4" x14ac:dyDescent="0.25">
      <c r="A7" s="20"/>
      <c r="B7" s="15" t="s">
        <v>9</v>
      </c>
      <c r="C7" s="18"/>
      <c r="D7" s="7"/>
      <c r="E7" s="7">
        <f t="shared" si="0"/>
        <v>0</v>
      </c>
      <c r="F7" s="7"/>
      <c r="G7" s="7">
        <v>2150</v>
      </c>
      <c r="H7" s="7">
        <v>518</v>
      </c>
      <c r="I7" s="7">
        <v>280</v>
      </c>
      <c r="J7" s="9">
        <f t="shared" si="2"/>
        <v>1.1048611111111111</v>
      </c>
      <c r="K7" s="8">
        <f t="shared" si="3"/>
        <v>0</v>
      </c>
      <c r="L7" s="7"/>
      <c r="M7" s="16"/>
      <c r="N7" s="16"/>
      <c r="O7" s="16"/>
      <c r="P7" s="16"/>
      <c r="Q7" s="16"/>
      <c r="R7" s="16"/>
      <c r="S7" s="16"/>
      <c r="T7" s="16"/>
      <c r="U7" s="16"/>
      <c r="V7" s="16"/>
      <c r="W7" s="7">
        <f t="shared" si="4"/>
        <v>0</v>
      </c>
      <c r="X7" s="9">
        <f t="shared" si="1"/>
        <v>0</v>
      </c>
      <c r="Y7" s="10">
        <f t="shared" ref="Y7:Y31" si="5">IF(G7=0,0,G7/I7)</f>
        <v>7.6785714285714288</v>
      </c>
    </row>
    <row r="8" spans="1:28" x14ac:dyDescent="0.25">
      <c r="B8" s="17"/>
      <c r="C8" s="17"/>
      <c r="D8" s="17"/>
      <c r="E8" s="17">
        <f t="shared" si="0"/>
        <v>0</v>
      </c>
      <c r="F8" s="17"/>
      <c r="G8" s="17"/>
      <c r="H8" s="17"/>
      <c r="I8" s="17"/>
      <c r="J8" s="9" t="e">
        <f t="shared" si="2"/>
        <v>#DIV/0!</v>
      </c>
      <c r="K8" s="8">
        <f t="shared" si="3"/>
        <v>0</v>
      </c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7">
        <f t="shared" si="4"/>
        <v>0</v>
      </c>
      <c r="X8" s="9">
        <f t="shared" si="1"/>
        <v>0</v>
      </c>
      <c r="Y8" s="10">
        <f t="shared" si="5"/>
        <v>0</v>
      </c>
    </row>
    <row r="9" spans="1:28" x14ac:dyDescent="0.25">
      <c r="B9" s="17"/>
      <c r="C9" s="17"/>
      <c r="D9" s="17"/>
      <c r="E9" s="17">
        <f t="shared" si="0"/>
        <v>0</v>
      </c>
      <c r="F9" s="17"/>
      <c r="G9" s="17"/>
      <c r="H9" s="17"/>
      <c r="I9" s="17"/>
      <c r="J9" s="9" t="e">
        <f t="shared" si="2"/>
        <v>#DIV/0!</v>
      </c>
      <c r="K9" s="8">
        <f t="shared" si="3"/>
        <v>0</v>
      </c>
      <c r="L9" s="17"/>
      <c r="M9" s="16"/>
      <c r="N9" s="16"/>
      <c r="O9" s="16"/>
      <c r="P9" s="16"/>
      <c r="Q9" s="16"/>
      <c r="R9" s="16"/>
      <c r="S9" s="16"/>
      <c r="T9" s="16"/>
      <c r="U9" s="16"/>
      <c r="V9" s="16"/>
      <c r="W9" s="17">
        <f t="shared" si="4"/>
        <v>0</v>
      </c>
      <c r="X9" s="9">
        <f t="shared" si="1"/>
        <v>0</v>
      </c>
      <c r="Y9" s="10">
        <f t="shared" si="5"/>
        <v>0</v>
      </c>
    </row>
    <row r="10" spans="1:28" x14ac:dyDescent="0.25">
      <c r="B10" s="17"/>
      <c r="C10" s="17"/>
      <c r="D10" s="17"/>
      <c r="E10" s="17">
        <f t="shared" si="0"/>
        <v>0</v>
      </c>
      <c r="F10" s="17"/>
      <c r="G10" s="17"/>
      <c r="H10" s="17"/>
      <c r="I10" s="17"/>
      <c r="J10" s="9" t="e">
        <f t="shared" si="2"/>
        <v>#DIV/0!</v>
      </c>
      <c r="K10" s="8">
        <f t="shared" si="3"/>
        <v>0</v>
      </c>
      <c r="L10" s="17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>
        <f t="shared" si="4"/>
        <v>0</v>
      </c>
      <c r="X10" s="9">
        <f t="shared" si="1"/>
        <v>0</v>
      </c>
      <c r="Y10" s="10">
        <f t="shared" si="5"/>
        <v>0</v>
      </c>
    </row>
    <row r="11" spans="1:28" x14ac:dyDescent="0.25">
      <c r="B11" s="17"/>
      <c r="C11" s="17"/>
      <c r="D11" s="17"/>
      <c r="E11" s="17">
        <f t="shared" si="0"/>
        <v>0</v>
      </c>
      <c r="F11" s="17"/>
      <c r="G11" s="17"/>
      <c r="H11" s="17"/>
      <c r="I11" s="17"/>
      <c r="J11" s="9" t="e">
        <f t="shared" si="2"/>
        <v>#DIV/0!</v>
      </c>
      <c r="K11" s="8">
        <f t="shared" si="3"/>
        <v>0</v>
      </c>
      <c r="L11" s="17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>
        <f t="shared" si="4"/>
        <v>0</v>
      </c>
      <c r="X11" s="9">
        <f t="shared" si="1"/>
        <v>0</v>
      </c>
      <c r="Y11" s="10">
        <f t="shared" si="5"/>
        <v>0</v>
      </c>
    </row>
    <row r="12" spans="1:28" x14ac:dyDescent="0.25">
      <c r="B12" s="17"/>
      <c r="C12" s="17"/>
      <c r="D12" s="17"/>
      <c r="E12" s="17">
        <f t="shared" si="0"/>
        <v>0</v>
      </c>
      <c r="F12" s="17"/>
      <c r="G12" s="17"/>
      <c r="H12" s="17"/>
      <c r="I12" s="17"/>
      <c r="J12" s="9" t="e">
        <f t="shared" si="2"/>
        <v>#DIV/0!</v>
      </c>
      <c r="K12" s="8">
        <f t="shared" si="3"/>
        <v>0</v>
      </c>
      <c r="L12" s="17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>
        <f t="shared" si="4"/>
        <v>0</v>
      </c>
      <c r="X12" s="9">
        <f t="shared" si="1"/>
        <v>0</v>
      </c>
      <c r="Y12" s="10">
        <f t="shared" si="5"/>
        <v>0</v>
      </c>
    </row>
    <row r="13" spans="1:28" x14ac:dyDescent="0.25">
      <c r="B13" s="17"/>
      <c r="C13" s="17"/>
      <c r="D13" s="17"/>
      <c r="E13" s="17">
        <f t="shared" si="0"/>
        <v>0</v>
      </c>
      <c r="F13" s="17"/>
      <c r="G13" s="17"/>
      <c r="H13" s="17"/>
      <c r="I13" s="17"/>
      <c r="J13" s="9" t="e">
        <f t="shared" si="2"/>
        <v>#DIV/0!</v>
      </c>
      <c r="K13" s="8">
        <f t="shared" si="3"/>
        <v>0</v>
      </c>
      <c r="L13" s="17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>
        <f t="shared" si="4"/>
        <v>0</v>
      </c>
      <c r="X13" s="9">
        <f t="shared" si="1"/>
        <v>0</v>
      </c>
      <c r="Y13" s="10">
        <f t="shared" si="5"/>
        <v>0</v>
      </c>
    </row>
    <row r="14" spans="1:28" x14ac:dyDescent="0.25">
      <c r="B14" s="17"/>
      <c r="C14" s="17"/>
      <c r="D14" s="17"/>
      <c r="E14" s="17">
        <f t="shared" si="0"/>
        <v>0</v>
      </c>
      <c r="F14" s="17"/>
      <c r="G14" s="17"/>
      <c r="H14" s="17"/>
      <c r="I14" s="17"/>
      <c r="J14" s="9" t="e">
        <f t="shared" si="2"/>
        <v>#DIV/0!</v>
      </c>
      <c r="K14" s="8">
        <f t="shared" si="3"/>
        <v>0</v>
      </c>
      <c r="L14" s="17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>
        <f t="shared" si="4"/>
        <v>0</v>
      </c>
      <c r="X14" s="9">
        <f t="shared" si="1"/>
        <v>0</v>
      </c>
      <c r="Y14" s="10">
        <f t="shared" si="5"/>
        <v>0</v>
      </c>
    </row>
    <row r="15" spans="1:28" x14ac:dyDescent="0.25">
      <c r="B15" s="17"/>
      <c r="C15" s="17"/>
      <c r="D15" s="17"/>
      <c r="E15" s="17">
        <f t="shared" si="0"/>
        <v>0</v>
      </c>
      <c r="F15" s="17"/>
      <c r="G15" s="17"/>
      <c r="H15" s="17"/>
      <c r="I15" s="17"/>
      <c r="J15" s="9" t="e">
        <f t="shared" si="2"/>
        <v>#DIV/0!</v>
      </c>
      <c r="K15" s="8">
        <f t="shared" si="3"/>
        <v>0</v>
      </c>
      <c r="L15" s="1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>
        <f t="shared" si="4"/>
        <v>0</v>
      </c>
      <c r="X15" s="9">
        <f t="shared" si="1"/>
        <v>0</v>
      </c>
      <c r="Y15" s="10">
        <f t="shared" si="5"/>
        <v>0</v>
      </c>
    </row>
    <row r="16" spans="1:28" x14ac:dyDescent="0.25">
      <c r="B16" s="17"/>
      <c r="C16" s="17"/>
      <c r="D16" s="17"/>
      <c r="E16" s="17">
        <f t="shared" si="0"/>
        <v>0</v>
      </c>
      <c r="F16" s="17"/>
      <c r="G16" s="17"/>
      <c r="H16" s="17"/>
      <c r="I16" s="17"/>
      <c r="J16" s="9" t="e">
        <f t="shared" si="2"/>
        <v>#DIV/0!</v>
      </c>
      <c r="K16" s="8">
        <f t="shared" si="3"/>
        <v>0</v>
      </c>
      <c r="L16" s="1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>
        <f t="shared" si="4"/>
        <v>0</v>
      </c>
      <c r="X16" s="9">
        <f t="shared" si="1"/>
        <v>0</v>
      </c>
      <c r="Y16" s="10">
        <f t="shared" si="5"/>
        <v>0</v>
      </c>
    </row>
    <row r="17" spans="2:25" x14ac:dyDescent="0.25">
      <c r="B17" s="17"/>
      <c r="C17" s="17"/>
      <c r="D17" s="17"/>
      <c r="E17" s="17">
        <f t="shared" si="0"/>
        <v>0</v>
      </c>
      <c r="F17" s="17"/>
      <c r="G17" s="17"/>
      <c r="H17" s="17"/>
      <c r="I17" s="17"/>
      <c r="J17" s="9" t="e">
        <f t="shared" si="2"/>
        <v>#DIV/0!</v>
      </c>
      <c r="K17" s="8">
        <f t="shared" si="3"/>
        <v>0</v>
      </c>
      <c r="L17" s="1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>
        <f t="shared" si="4"/>
        <v>0</v>
      </c>
      <c r="X17" s="9">
        <f t="shared" si="1"/>
        <v>0</v>
      </c>
      <c r="Y17" s="10">
        <f t="shared" si="5"/>
        <v>0</v>
      </c>
    </row>
    <row r="18" spans="2:25" x14ac:dyDescent="0.25">
      <c r="B18" s="17"/>
      <c r="C18" s="17"/>
      <c r="D18" s="17"/>
      <c r="E18" s="17">
        <f t="shared" si="0"/>
        <v>0</v>
      </c>
      <c r="F18" s="17"/>
      <c r="G18" s="17"/>
      <c r="H18" s="17"/>
      <c r="I18" s="17"/>
      <c r="J18" s="9" t="e">
        <f t="shared" si="2"/>
        <v>#DIV/0!</v>
      </c>
      <c r="K18" s="8">
        <f t="shared" si="3"/>
        <v>0</v>
      </c>
      <c r="L18" s="1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>
        <f t="shared" si="4"/>
        <v>0</v>
      </c>
      <c r="X18" s="9">
        <f t="shared" si="1"/>
        <v>0</v>
      </c>
      <c r="Y18" s="10">
        <f t="shared" si="5"/>
        <v>0</v>
      </c>
    </row>
    <row r="19" spans="2:25" x14ac:dyDescent="0.25">
      <c r="B19" s="17"/>
      <c r="C19" s="17"/>
      <c r="D19" s="17"/>
      <c r="E19" s="17">
        <f t="shared" si="0"/>
        <v>0</v>
      </c>
      <c r="F19" s="17"/>
      <c r="G19" s="17"/>
      <c r="H19" s="17"/>
      <c r="I19" s="17"/>
      <c r="J19" s="9" t="e">
        <f t="shared" si="2"/>
        <v>#DIV/0!</v>
      </c>
      <c r="K19" s="8">
        <f t="shared" si="3"/>
        <v>0</v>
      </c>
      <c r="L19" s="1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>
        <f t="shared" si="4"/>
        <v>0</v>
      </c>
      <c r="X19" s="9">
        <f t="shared" si="1"/>
        <v>0</v>
      </c>
      <c r="Y19" s="10">
        <f t="shared" si="5"/>
        <v>0</v>
      </c>
    </row>
    <row r="20" spans="2:25" x14ac:dyDescent="0.25">
      <c r="B20" s="17"/>
      <c r="C20" s="17"/>
      <c r="D20" s="17"/>
      <c r="E20" s="17">
        <f t="shared" si="0"/>
        <v>0</v>
      </c>
      <c r="F20" s="17"/>
      <c r="G20" s="17"/>
      <c r="H20" s="17"/>
      <c r="I20" s="17"/>
      <c r="J20" s="9" t="e">
        <f t="shared" si="2"/>
        <v>#DIV/0!</v>
      </c>
      <c r="K20" s="8">
        <f t="shared" si="3"/>
        <v>0</v>
      </c>
      <c r="L20" s="1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>
        <f t="shared" si="4"/>
        <v>0</v>
      </c>
      <c r="X20" s="9">
        <f t="shared" si="1"/>
        <v>0</v>
      </c>
      <c r="Y20" s="10">
        <f t="shared" si="5"/>
        <v>0</v>
      </c>
    </row>
    <row r="21" spans="2:25" x14ac:dyDescent="0.25">
      <c r="B21" s="17"/>
      <c r="C21" s="17"/>
      <c r="D21" s="17"/>
      <c r="E21" s="17">
        <f t="shared" si="0"/>
        <v>0</v>
      </c>
      <c r="F21" s="17"/>
      <c r="G21" s="17"/>
      <c r="H21" s="17"/>
      <c r="I21" s="17"/>
      <c r="J21" s="9" t="e">
        <f t="shared" si="2"/>
        <v>#DIV/0!</v>
      </c>
      <c r="K21" s="8">
        <f t="shared" si="3"/>
        <v>0</v>
      </c>
      <c r="L21" s="1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>
        <f t="shared" si="4"/>
        <v>0</v>
      </c>
      <c r="X21" s="9">
        <f t="shared" si="1"/>
        <v>0</v>
      </c>
      <c r="Y21" s="10">
        <f t="shared" si="5"/>
        <v>0</v>
      </c>
    </row>
    <row r="22" spans="2:25" x14ac:dyDescent="0.25">
      <c r="B22" s="17"/>
      <c r="C22" s="17"/>
      <c r="D22" s="17"/>
      <c r="E22" s="17">
        <f t="shared" si="0"/>
        <v>0</v>
      </c>
      <c r="F22" s="17"/>
      <c r="G22" s="17"/>
      <c r="H22" s="17"/>
      <c r="I22" s="17"/>
      <c r="J22" s="9" t="e">
        <f t="shared" si="2"/>
        <v>#DIV/0!</v>
      </c>
      <c r="K22" s="8">
        <f t="shared" si="3"/>
        <v>0</v>
      </c>
      <c r="L22" s="1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>
        <f t="shared" si="4"/>
        <v>0</v>
      </c>
      <c r="X22" s="9">
        <f t="shared" si="1"/>
        <v>0</v>
      </c>
      <c r="Y22" s="10">
        <f t="shared" si="5"/>
        <v>0</v>
      </c>
    </row>
    <row r="23" spans="2:25" x14ac:dyDescent="0.25">
      <c r="B23" s="17"/>
      <c r="C23" s="17"/>
      <c r="D23" s="17"/>
      <c r="E23" s="17">
        <f t="shared" si="0"/>
        <v>0</v>
      </c>
      <c r="F23" s="17"/>
      <c r="G23" s="17"/>
      <c r="H23" s="17"/>
      <c r="I23" s="17"/>
      <c r="J23" s="9" t="e">
        <f t="shared" si="2"/>
        <v>#DIV/0!</v>
      </c>
      <c r="K23" s="8">
        <f t="shared" si="3"/>
        <v>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>
        <f t="shared" si="4"/>
        <v>0</v>
      </c>
      <c r="X23" s="9">
        <f t="shared" si="1"/>
        <v>0</v>
      </c>
      <c r="Y23" s="10">
        <f t="shared" si="5"/>
        <v>0</v>
      </c>
    </row>
    <row r="24" spans="2:25" x14ac:dyDescent="0.25">
      <c r="B24" s="17"/>
      <c r="C24" s="17"/>
      <c r="D24" s="17"/>
      <c r="E24" s="17">
        <f t="shared" si="0"/>
        <v>0</v>
      </c>
      <c r="F24" s="17"/>
      <c r="G24" s="17"/>
      <c r="H24" s="17"/>
      <c r="I24" s="17"/>
      <c r="J24" s="9" t="e">
        <f t="shared" si="2"/>
        <v>#DIV/0!</v>
      </c>
      <c r="K24" s="8">
        <f t="shared" si="3"/>
        <v>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>
        <f t="shared" si="4"/>
        <v>0</v>
      </c>
      <c r="X24" s="9">
        <f t="shared" si="1"/>
        <v>0</v>
      </c>
      <c r="Y24" s="10">
        <f t="shared" si="5"/>
        <v>0</v>
      </c>
    </row>
    <row r="25" spans="2:25" x14ac:dyDescent="0.25">
      <c r="B25" s="17"/>
      <c r="C25" s="17"/>
      <c r="D25" s="17"/>
      <c r="E25" s="17">
        <f t="shared" si="0"/>
        <v>0</v>
      </c>
      <c r="F25" s="17"/>
      <c r="G25" s="17"/>
      <c r="H25" s="17"/>
      <c r="I25" s="17"/>
      <c r="J25" s="9" t="e">
        <f t="shared" si="2"/>
        <v>#DIV/0!</v>
      </c>
      <c r="K25" s="8">
        <f t="shared" si="3"/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>
        <f t="shared" si="4"/>
        <v>0</v>
      </c>
      <c r="X25" s="9">
        <f t="shared" si="1"/>
        <v>0</v>
      </c>
      <c r="Y25" s="10">
        <f t="shared" si="5"/>
        <v>0</v>
      </c>
    </row>
    <row r="26" spans="2:25" x14ac:dyDescent="0.25">
      <c r="B26" s="17"/>
      <c r="C26" s="17"/>
      <c r="D26" s="17"/>
      <c r="E26" s="17">
        <f t="shared" si="0"/>
        <v>0</v>
      </c>
      <c r="F26" s="17"/>
      <c r="G26" s="17"/>
      <c r="H26" s="17"/>
      <c r="I26" s="17"/>
      <c r="J26" s="9" t="e">
        <f t="shared" si="2"/>
        <v>#DIV/0!</v>
      </c>
      <c r="K26" s="8">
        <f t="shared" si="3"/>
        <v>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>
        <f t="shared" si="4"/>
        <v>0</v>
      </c>
      <c r="X26" s="9">
        <f t="shared" si="1"/>
        <v>0</v>
      </c>
      <c r="Y26" s="10">
        <f t="shared" si="5"/>
        <v>0</v>
      </c>
    </row>
    <row r="27" spans="2:25" x14ac:dyDescent="0.25">
      <c r="B27" s="17"/>
      <c r="C27" s="17"/>
      <c r="D27" s="17"/>
      <c r="E27" s="17">
        <f t="shared" si="0"/>
        <v>0</v>
      </c>
      <c r="F27" s="17"/>
      <c r="G27" s="17"/>
      <c r="H27" s="17"/>
      <c r="I27" s="17"/>
      <c r="J27" s="9" t="e">
        <f t="shared" si="2"/>
        <v>#DIV/0!</v>
      </c>
      <c r="K27" s="8">
        <f t="shared" si="3"/>
        <v>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>
        <f t="shared" si="4"/>
        <v>0</v>
      </c>
      <c r="X27" s="9">
        <f t="shared" si="1"/>
        <v>0</v>
      </c>
      <c r="Y27" s="10">
        <f t="shared" si="5"/>
        <v>0</v>
      </c>
    </row>
    <row r="28" spans="2:25" x14ac:dyDescent="0.25">
      <c r="B28" s="17"/>
      <c r="C28" s="17"/>
      <c r="D28" s="17"/>
      <c r="E28" s="17">
        <f t="shared" si="0"/>
        <v>0</v>
      </c>
      <c r="F28" s="17"/>
      <c r="G28" s="17"/>
      <c r="H28" s="17"/>
      <c r="I28" s="17"/>
      <c r="J28" s="9" t="e">
        <f t="shared" si="2"/>
        <v>#DIV/0!</v>
      </c>
      <c r="K28" s="8">
        <f t="shared" si="3"/>
        <v>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>
        <f t="shared" si="4"/>
        <v>0</v>
      </c>
      <c r="X28" s="9">
        <f t="shared" si="1"/>
        <v>0</v>
      </c>
      <c r="Y28" s="10">
        <f t="shared" si="5"/>
        <v>0</v>
      </c>
    </row>
    <row r="29" spans="2:25" x14ac:dyDescent="0.25">
      <c r="B29" s="17"/>
      <c r="C29" s="17"/>
      <c r="D29" s="17"/>
      <c r="E29" s="17">
        <f t="shared" si="0"/>
        <v>0</v>
      </c>
      <c r="F29" s="17"/>
      <c r="G29" s="17"/>
      <c r="H29" s="17"/>
      <c r="I29" s="17"/>
      <c r="J29" s="9" t="e">
        <f t="shared" si="2"/>
        <v>#DIV/0!</v>
      </c>
      <c r="K29" s="8">
        <f t="shared" si="3"/>
        <v>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>
        <f t="shared" si="4"/>
        <v>0</v>
      </c>
      <c r="X29" s="9">
        <f t="shared" si="1"/>
        <v>0</v>
      </c>
      <c r="Y29" s="10">
        <f t="shared" si="5"/>
        <v>0</v>
      </c>
    </row>
    <row r="30" spans="2:25" x14ac:dyDescent="0.25">
      <c r="B30" s="17"/>
      <c r="C30" s="17"/>
      <c r="D30" s="17"/>
      <c r="E30" s="17">
        <f t="shared" si="0"/>
        <v>0</v>
      </c>
      <c r="F30" s="17"/>
      <c r="G30" s="17"/>
      <c r="H30" s="17"/>
      <c r="I30" s="17"/>
      <c r="J30" s="9" t="e">
        <f t="shared" si="2"/>
        <v>#DIV/0!</v>
      </c>
      <c r="K30" s="8">
        <f t="shared" si="3"/>
        <v>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>
        <f t="shared" si="4"/>
        <v>0</v>
      </c>
      <c r="X30" s="9">
        <f t="shared" si="1"/>
        <v>0</v>
      </c>
      <c r="Y30" s="10">
        <f t="shared" si="5"/>
        <v>0</v>
      </c>
    </row>
    <row r="31" spans="2:25" x14ac:dyDescent="0.25">
      <c r="B31" s="17"/>
      <c r="C31" s="17"/>
      <c r="D31" s="17"/>
      <c r="E31" s="17">
        <f t="shared" si="0"/>
        <v>0</v>
      </c>
      <c r="F31" s="17"/>
      <c r="G31" s="17"/>
      <c r="H31" s="17"/>
      <c r="I31" s="17"/>
      <c r="J31" s="9" t="e">
        <f t="shared" si="2"/>
        <v>#DIV/0!</v>
      </c>
      <c r="K31" s="8">
        <f t="shared" si="3"/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>
        <f t="shared" si="4"/>
        <v>0</v>
      </c>
      <c r="X31" s="9">
        <f t="shared" si="1"/>
        <v>0</v>
      </c>
      <c r="Y31" s="10">
        <f t="shared" si="5"/>
        <v>0</v>
      </c>
    </row>
  </sheetData>
  <mergeCells count="1">
    <mergeCell ref="A2:A7"/>
  </mergeCells>
  <phoneticPr fontId="4" type="noConversion"/>
  <conditionalFormatting sqref="K1:K1048576"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{D1C5C273-8BE6-4183-AA7E-31434E168F71}</x14:id>
        </ext>
      </extLst>
    </cfRule>
    <cfRule type="colorScale" priority="1">
      <colorScale>
        <cfvo type="min"/>
        <cfvo type="max"/>
        <color theme="0"/>
        <color theme="0"/>
      </colorScale>
    </cfRule>
  </conditionalFormatting>
  <conditionalFormatting sqref="J1:J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{500D95C9-6604-45DF-BFDA-F0DA50565AA0}</x14:id>
        </ext>
      </extLst>
    </cfRule>
  </conditionalFormatting>
  <pageMargins left="0.75" right="0.75" top="1" bottom="1" header="0.5" footer="0.5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C5C273-8BE6-4183-AA7E-31434E168F7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500D95C9-6604-45DF-BFDA-F0DA50565A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BaoCaoTongHop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 TRINH(LUXSHARE-ICT)</cp:lastModifiedBy>
  <dcterms:created xsi:type="dcterms:W3CDTF">2026-07-30T21:37:07Z</dcterms:created>
  <dcterms:modified xsi:type="dcterms:W3CDTF">2026-08-12T14:22:07Z</dcterms:modified>
</cp:coreProperties>
</file>