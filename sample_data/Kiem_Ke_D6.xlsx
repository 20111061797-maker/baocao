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91430024\Desktop\"/>
    </mc:Choice>
  </mc:AlternateContent>
  <xr:revisionPtr revIDLastSave="0" documentId="13_ncr:1_{E3E58CE9-FD4E-4F0E-AE8F-43D0E064049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PK,MIC D6" sheetId="1" r:id="rId1"/>
    <sheet name="ĐAI ĐẦU D6" sheetId="2" r:id="rId2"/>
    <sheet name="LẮP RÁP D6" sheetId="3" r:id="rId3"/>
    <sheet name="ĐÓNG GÓI D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0" i="1" l="1"/>
  <c r="I29" i="1"/>
  <c r="I28" i="1"/>
  <c r="I27" i="1"/>
  <c r="I26" i="1"/>
  <c r="I25" i="1"/>
  <c r="I24" i="1"/>
  <c r="I23" i="1"/>
  <c r="J39" i="3" l="1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I15" i="2" l="1"/>
  <c r="F26" i="4" l="1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I23" i="2"/>
  <c r="I24" i="2"/>
  <c r="I25" i="2"/>
  <c r="I26" i="2"/>
  <c r="I27" i="2"/>
  <c r="I28" i="2"/>
  <c r="I29" i="2"/>
  <c r="I30" i="2"/>
  <c r="I31" i="2"/>
  <c r="I32" i="2"/>
  <c r="I33" i="2"/>
  <c r="I22" i="2"/>
  <c r="I7" i="2"/>
  <c r="I8" i="2"/>
  <c r="I9" i="2"/>
  <c r="I10" i="2"/>
  <c r="I11" i="2"/>
  <c r="I12" i="2"/>
  <c r="I13" i="2"/>
  <c r="I14" i="2"/>
  <c r="I6" i="2"/>
  <c r="I7" i="1"/>
  <c r="I8" i="1"/>
  <c r="I9" i="1"/>
  <c r="I10" i="1"/>
  <c r="I11" i="1"/>
  <c r="I12" i="1"/>
  <c r="I13" i="1"/>
  <c r="I14" i="1"/>
  <c r="I15" i="1"/>
  <c r="I6" i="1"/>
  <c r="B19" i="2"/>
  <c r="F25" i="4" l="1"/>
  <c r="F7" i="4" l="1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6" i="4"/>
  <c r="B3" i="2" l="1"/>
  <c r="B3" i="3"/>
  <c r="B20" i="1"/>
  <c r="B3" i="1"/>
  <c r="B3" i="4"/>
</calcChain>
</file>

<file path=xl/sharedStrings.xml><?xml version="1.0" encoding="utf-8"?>
<sst xmlns="http://schemas.openxmlformats.org/spreadsheetml/2006/main" count="191" uniqueCount="123">
  <si>
    <t>3401-21700-0001H</t>
  </si>
  <si>
    <t>SỐ LƯỢNG CÔNG LỆNH</t>
  </si>
  <si>
    <t>NHẬP KHO</t>
  </si>
  <si>
    <t>CẦN KIỂM</t>
  </si>
  <si>
    <r>
      <rPr>
        <b/>
        <sz val="11"/>
        <color theme="1"/>
        <rFont val="宋体"/>
        <family val="3"/>
        <charset val="134"/>
      </rPr>
      <t xml:space="preserve">料号
</t>
    </r>
    <r>
      <rPr>
        <b/>
        <sz val="11"/>
        <color theme="1"/>
        <rFont val="Times New Roman"/>
        <family val="1"/>
      </rPr>
      <t>Mã liệu</t>
    </r>
  </si>
  <si>
    <r>
      <rPr>
        <b/>
        <sz val="11"/>
        <color theme="1"/>
        <rFont val="宋体"/>
        <family val="3"/>
        <charset val="134"/>
      </rPr>
      <t xml:space="preserve">应盘
</t>
    </r>
    <r>
      <rPr>
        <b/>
        <sz val="11"/>
        <color theme="1"/>
        <rFont val="Times New Roman"/>
        <family val="1"/>
      </rPr>
      <t>Cần kiểm</t>
    </r>
  </si>
  <si>
    <r>
      <rPr>
        <b/>
        <sz val="11"/>
        <color theme="1"/>
        <rFont val="宋体"/>
        <family val="3"/>
        <charset val="134"/>
      </rPr>
      <t xml:space="preserve">原料
</t>
    </r>
    <r>
      <rPr>
        <b/>
        <sz val="11"/>
        <color theme="1"/>
        <rFont val="Times New Roman"/>
        <family val="1"/>
      </rPr>
      <t>Liệu  Nguyên</t>
    </r>
  </si>
  <si>
    <r>
      <rPr>
        <b/>
        <sz val="11"/>
        <color theme="1"/>
        <rFont val="宋体"/>
        <family val="3"/>
        <charset val="134"/>
      </rPr>
      <t xml:space="preserve">半成品
</t>
    </r>
    <r>
      <rPr>
        <b/>
        <sz val="11"/>
        <color theme="1"/>
        <rFont val="Times New Roman"/>
        <family val="1"/>
      </rPr>
      <t>Bán thành phẩm</t>
    </r>
  </si>
  <si>
    <r>
      <rPr>
        <b/>
        <sz val="11"/>
        <color theme="1"/>
        <rFont val="宋体"/>
        <family val="3"/>
        <charset val="134"/>
      </rPr>
      <t xml:space="preserve">成品
</t>
    </r>
    <r>
      <rPr>
        <b/>
        <sz val="11"/>
        <color theme="1"/>
        <rFont val="Times New Roman"/>
        <family val="1"/>
      </rPr>
      <t>Thành Phẩm</t>
    </r>
  </si>
  <si>
    <r>
      <rPr>
        <b/>
        <sz val="11"/>
        <color theme="1"/>
        <rFont val="宋体"/>
        <family val="3"/>
        <charset val="134"/>
      </rPr>
      <t xml:space="preserve">差异
</t>
    </r>
    <r>
      <rPr>
        <b/>
        <sz val="11"/>
        <color theme="1"/>
        <rFont val="Times New Roman"/>
        <family val="1"/>
      </rPr>
      <t>Chênh lệch</t>
    </r>
  </si>
  <si>
    <t>Kho</t>
  </si>
  <si>
    <t>Ngoài chuyền</t>
  </si>
  <si>
    <t>3R02-08932-0002R</t>
  </si>
  <si>
    <t>3R01-HA350-0001R</t>
  </si>
  <si>
    <t>3R01-0A255-0001R</t>
  </si>
  <si>
    <t>3N07-20A59-0001R</t>
  </si>
  <si>
    <t>3S01-00000-0463R</t>
  </si>
  <si>
    <t>3S03-00000-0029R</t>
  </si>
  <si>
    <t>3U11-05000-0004H</t>
  </si>
  <si>
    <t>3K01-1E7B3-0002R</t>
  </si>
  <si>
    <t>3S05-00000-0014R</t>
  </si>
  <si>
    <t>3425-09700-0012H</t>
  </si>
  <si>
    <t>3425-09700-0013H</t>
  </si>
  <si>
    <t>3631-01000-0014H</t>
  </si>
  <si>
    <t>3815-00000-0021H</t>
  </si>
  <si>
    <t>3602-01140-0001H</t>
  </si>
  <si>
    <t>3838-20000-0001H</t>
  </si>
  <si>
    <t>3901-40072-0001H</t>
  </si>
  <si>
    <t>3B01-50042-0001H</t>
  </si>
  <si>
    <r>
      <t xml:space="preserve">左耳
</t>
    </r>
    <r>
      <rPr>
        <b/>
        <sz val="11"/>
        <color rgb="FF000000"/>
        <rFont val="Times New Roman"/>
        <family val="1"/>
      </rPr>
      <t>ĐÃ LẮP MIC</t>
    </r>
  </si>
  <si>
    <r>
      <t xml:space="preserve">待入库
</t>
    </r>
    <r>
      <rPr>
        <b/>
        <sz val="11"/>
        <color rgb="FF000000"/>
        <rFont val="Times New Roman"/>
        <family val="1"/>
      </rPr>
      <t>BÁN THÀNH PHẨM</t>
    </r>
  </si>
  <si>
    <r>
      <t xml:space="preserve">维修房双耳
</t>
    </r>
    <r>
      <rPr>
        <b/>
        <sz val="11"/>
        <color rgb="FF000000"/>
        <rFont val="Times New Roman"/>
        <family val="1"/>
      </rPr>
      <t>PHÒNG SỬA HÀNG</t>
    </r>
  </si>
  <si>
    <t>NG</t>
    <phoneticPr fontId="1" type="noConversion"/>
  </si>
  <si>
    <t>LƯỢNG DÙNG</t>
    <phoneticPr fontId="1" type="noConversion"/>
  </si>
  <si>
    <r>
      <t>FA D6</t>
    </r>
    <r>
      <rPr>
        <b/>
        <sz val="11"/>
        <color rgb="FF000000"/>
        <rFont val="等线"/>
        <family val="3"/>
        <charset val="134"/>
      </rPr>
      <t xml:space="preserve">双耳
</t>
    </r>
    <r>
      <rPr>
        <b/>
        <sz val="11"/>
        <color rgb="FF000000"/>
        <rFont val="Times New Roman"/>
        <family val="1"/>
      </rPr>
      <t>D6 FA</t>
    </r>
  </si>
  <si>
    <r>
      <rPr>
        <b/>
        <sz val="11"/>
        <color theme="1"/>
        <rFont val="宋体"/>
        <family val="3"/>
        <charset val="134"/>
      </rPr>
      <t>包装</t>
    </r>
    <r>
      <rPr>
        <b/>
        <sz val="11"/>
        <color theme="1"/>
        <rFont val="Times New Roman"/>
        <family val="1"/>
      </rPr>
      <t>ĐÓNG GÓI</t>
    </r>
    <phoneticPr fontId="1" type="noConversion"/>
  </si>
  <si>
    <r>
      <rPr>
        <b/>
        <sz val="11"/>
        <color theme="1"/>
        <rFont val="等线"/>
        <family val="3"/>
        <charset val="134"/>
      </rPr>
      <t>喇叭</t>
    </r>
    <r>
      <rPr>
        <b/>
        <sz val="11"/>
        <color theme="1"/>
        <rFont val="Times New Roman"/>
        <family val="1"/>
      </rPr>
      <t>SPK</t>
    </r>
    <phoneticPr fontId="1" type="noConversion"/>
  </si>
  <si>
    <r>
      <rPr>
        <b/>
        <sz val="11"/>
        <color theme="1"/>
        <rFont val="等线"/>
        <family val="3"/>
        <charset val="134"/>
      </rPr>
      <t>麦克风</t>
    </r>
    <r>
      <rPr>
        <b/>
        <sz val="11"/>
        <color theme="1"/>
        <rFont val="Times New Roman"/>
        <family val="1"/>
      </rPr>
      <t>MIC</t>
    </r>
    <phoneticPr fontId="1" type="noConversion"/>
  </si>
  <si>
    <r>
      <rPr>
        <b/>
        <sz val="11"/>
        <color theme="1"/>
        <rFont val="等线"/>
        <family val="3"/>
        <charset val="134"/>
      </rPr>
      <t>头戴</t>
    </r>
    <r>
      <rPr>
        <b/>
        <sz val="11"/>
        <color theme="1"/>
        <rFont val="Times New Roman"/>
        <family val="1"/>
      </rPr>
      <t>ĐAI ĐẦU STREO</t>
    </r>
    <phoneticPr fontId="1" type="noConversion"/>
  </si>
  <si>
    <t>13700-L900000H-00</t>
  </si>
  <si>
    <t>3401-02700-0010H</t>
  </si>
  <si>
    <t>3425-0270D-0001H</t>
  </si>
  <si>
    <t>3815-00000-0022H</t>
  </si>
  <si>
    <t>3815-00000-0023H</t>
  </si>
  <si>
    <t>3815-00000-0046H</t>
  </si>
  <si>
    <t>8103-ONS0009H-Q6</t>
  </si>
  <si>
    <t>3401-02700-0014H</t>
  </si>
  <si>
    <t>3815-00000-0031H</t>
  </si>
  <si>
    <t>3815-00000-0033H</t>
  </si>
  <si>
    <t>8103-ONS0009H-Q2</t>
  </si>
  <si>
    <t>3401-06700-0006H</t>
  </si>
  <si>
    <t>3402-06700-0001H</t>
  </si>
  <si>
    <t>3402-06700-0002H</t>
  </si>
  <si>
    <t>3630-05000-0002H</t>
  </si>
  <si>
    <t>3630-05000-0006H</t>
  </si>
  <si>
    <t>3833-10ZZZ-0001H</t>
  </si>
  <si>
    <t>8009-0NS0028R-J1</t>
  </si>
  <si>
    <t>8009-0NS0034R-J1</t>
  </si>
  <si>
    <t>8103-ONS0001H-Q6</t>
  </si>
  <si>
    <t>8103-ONS0009H-Q1</t>
  </si>
  <si>
    <t>8103-ONS0009H-QG</t>
  </si>
  <si>
    <r>
      <rPr>
        <b/>
        <sz val="11"/>
        <color theme="1"/>
        <rFont val="等线"/>
        <family val="3"/>
        <charset val="134"/>
      </rPr>
      <t>组装</t>
    </r>
    <r>
      <rPr>
        <b/>
        <sz val="11"/>
        <color theme="1"/>
        <rFont val="Times New Roman"/>
        <family val="1"/>
      </rPr>
      <t xml:space="preserve">LẮP RÁP D6 </t>
    </r>
    <phoneticPr fontId="1" type="noConversion"/>
  </si>
  <si>
    <t>2M23-ZZ009-0023H</t>
  </si>
  <si>
    <t>3401-02700-0026H</t>
  </si>
  <si>
    <t>3401-02700-0027H</t>
  </si>
  <si>
    <t>3425-09700-0014H</t>
  </si>
  <si>
    <t>3425-09700-0016H</t>
  </si>
  <si>
    <t>3427-00700-0001H</t>
  </si>
  <si>
    <t>3428-06700-0001H</t>
  </si>
  <si>
    <t>3813-20000-0001H</t>
  </si>
  <si>
    <t>3814-00000-0001H</t>
  </si>
  <si>
    <t>3814-00000-0003H</t>
  </si>
  <si>
    <t>3834-20000-0003H</t>
  </si>
  <si>
    <t>3834-20800-0001H</t>
  </si>
  <si>
    <t>3B01-41522-0001H</t>
  </si>
  <si>
    <t>3B01-41522-0002H</t>
  </si>
  <si>
    <t>3B01-41722-0001H</t>
  </si>
  <si>
    <t>3B01-41722-0004H</t>
  </si>
  <si>
    <t>8009-0000422R-J1</t>
  </si>
  <si>
    <t>8009-0000423R-J1</t>
  </si>
  <si>
    <t>8009-0000424R-J1</t>
  </si>
  <si>
    <t>8103-ONS0009H-Q3</t>
  </si>
  <si>
    <t>8103-ONS0009H-Q4</t>
  </si>
  <si>
    <t>8103-ONS0009H-QA</t>
  </si>
  <si>
    <t>8103-ONS0009H-QB</t>
  </si>
  <si>
    <t>8103-ONS0009H-QC</t>
  </si>
  <si>
    <t>8103-ONS0009H-QD</t>
  </si>
  <si>
    <t>8103-ONS0009H-QE</t>
  </si>
  <si>
    <t>8103-ONS0009H-QF</t>
  </si>
  <si>
    <t>170-A5A050-002R</t>
  </si>
  <si>
    <t>3201-00000-0001H</t>
  </si>
  <si>
    <t>3K08-0K050-0001R</t>
  </si>
  <si>
    <t>3K08-0K350-0001R</t>
  </si>
  <si>
    <t>3K08-0K850-0001R</t>
  </si>
  <si>
    <t>3K08-0K850-0002R</t>
  </si>
  <si>
    <t>3L02-0B1A8-0011R</t>
  </si>
  <si>
    <t>3L02-LB0A8-0001R</t>
  </si>
  <si>
    <t>3M08-00000-0015R</t>
  </si>
  <si>
    <t>3M11-00000-0001R</t>
  </si>
  <si>
    <t>3M11-A7B00-0001R</t>
  </si>
  <si>
    <t>3N03-00ZZZ-0003R</t>
  </si>
  <si>
    <t>3N06-01105-0001H</t>
  </si>
  <si>
    <t>3N06-ZZA65-0001H</t>
  </si>
  <si>
    <t>3R01-5A0A5-0002H</t>
  </si>
  <si>
    <t>3S01-00000-0515R</t>
  </si>
  <si>
    <t>3S03-00000-0052R</t>
  </si>
  <si>
    <t>3S05-00000-0013R</t>
  </si>
  <si>
    <t>3S05-00000-0016R</t>
  </si>
  <si>
    <t>3S15-03510-0001R</t>
  </si>
  <si>
    <t>3S15-0A145-0001R</t>
  </si>
  <si>
    <t>3U03-00000-0001R</t>
  </si>
  <si>
    <t>3U34-0D500-0002H</t>
  </si>
  <si>
    <t>8103-ONS0010H-00</t>
  </si>
  <si>
    <t>3425-0270D-0002H</t>
    <phoneticPr fontId="1" type="noConversion"/>
  </si>
  <si>
    <t>8103-ONS0001H-Q12</t>
    <phoneticPr fontId="1" type="noConversion"/>
  </si>
  <si>
    <t>3401-00700-0006H</t>
  </si>
  <si>
    <t>3401-05700-0047H</t>
  </si>
  <si>
    <t>3401-05700-0050H</t>
  </si>
  <si>
    <t>3204-30000-0001H</t>
  </si>
  <si>
    <r>
      <rPr>
        <b/>
        <sz val="11"/>
        <color theme="1"/>
        <rFont val="宋体"/>
        <family val="3"/>
        <charset val="134"/>
      </rPr>
      <t>先红花</t>
    </r>
    <r>
      <rPr>
        <b/>
        <sz val="11"/>
        <color theme="1"/>
        <rFont val="Times New Roman"/>
        <family val="3"/>
      </rPr>
      <t xml:space="preserve"> DÂY D6</t>
    </r>
    <phoneticPr fontId="1" type="noConversion"/>
  </si>
  <si>
    <t>2M23-ZZ004-0001H</t>
  </si>
  <si>
    <t>3425-09700-0019H</t>
    <phoneticPr fontId="1" type="noConversion"/>
  </si>
  <si>
    <t>3401-05700-0043H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</si>
</sst>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等线"/>
      <family val="3"/>
      <charset val="134"/>
    </font>
    <font>
      <b/>
      <sz val="11"/>
      <color theme="1"/>
      <name val="Times New Roman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Times New Roman"/>
      <family val="1"/>
    </font>
    <font>
      <b/>
      <sz val="11"/>
      <color theme="1"/>
      <name val="Times New Roman"/>
      <family val="3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opLeftCell="B10" workbookViewId="0">
      <selection activeCell="G39" sqref="G39"/>
    </sheetView>
  </sheetViews>
  <sheetFormatPr defaultColWidth="8.88671875" defaultRowHeight="13.8" x14ac:dyDescent="0.25"/>
  <cols>
    <col min="1" max="1" width="29.109375" style="12" customWidth="1"/>
    <col min="2" max="2" width="9" style="12" customWidth="1"/>
    <col min="3" max="3" width="10.109375" style="12" customWidth="1"/>
    <col min="4" max="4" width="13.44140625" style="12" customWidth="1"/>
    <col min="5" max="5" width="13.77734375" style="12" customWidth="1"/>
    <col min="6" max="6" width="11.109375" style="12" customWidth="1"/>
    <col min="7" max="7" width="11.33203125" style="12" customWidth="1"/>
    <col min="8" max="16384" width="8.88671875" style="12"/>
  </cols>
  <sheetData>
    <row r="1" spans="1:10" ht="31.2" customHeight="1" x14ac:dyDescent="0.25">
      <c r="A1" s="9" t="s">
        <v>36</v>
      </c>
      <c r="B1" s="10"/>
    </row>
    <row r="2" spans="1:10" x14ac:dyDescent="0.25">
      <c r="A2" s="14" t="s">
        <v>1</v>
      </c>
      <c r="B2" s="14"/>
      <c r="C2" s="14"/>
      <c r="D2" s="14" t="s">
        <v>2</v>
      </c>
      <c r="E2" s="14"/>
      <c r="F2" s="14"/>
      <c r="G2" s="14"/>
    </row>
    <row r="3" spans="1:10" x14ac:dyDescent="0.25">
      <c r="A3" s="14" t="s">
        <v>3</v>
      </c>
      <c r="B3" s="14">
        <f>B2-E2</f>
        <v>0</v>
      </c>
      <c r="C3" s="14"/>
      <c r="D3" s="14"/>
      <c r="E3" s="14"/>
      <c r="F3" s="14"/>
      <c r="G3" s="14"/>
    </row>
    <row r="4" spans="1:10" ht="42" x14ac:dyDescent="0.25">
      <c r="A4" s="3" t="s">
        <v>4</v>
      </c>
      <c r="B4" s="3" t="s">
        <v>33</v>
      </c>
      <c r="C4" s="3" t="s">
        <v>5</v>
      </c>
      <c r="D4" s="22" t="s">
        <v>6</v>
      </c>
      <c r="E4" s="23"/>
      <c r="F4" s="3" t="s">
        <v>7</v>
      </c>
      <c r="G4" s="3" t="s">
        <v>7</v>
      </c>
      <c r="H4" s="3" t="s">
        <v>8</v>
      </c>
      <c r="I4" s="3" t="s">
        <v>9</v>
      </c>
      <c r="J4" s="18" t="s">
        <v>32</v>
      </c>
    </row>
    <row r="5" spans="1:10" x14ac:dyDescent="0.25">
      <c r="A5" s="2"/>
      <c r="B5" s="2"/>
      <c r="C5" s="4"/>
      <c r="D5" s="14" t="s">
        <v>10</v>
      </c>
      <c r="E5" s="14" t="s">
        <v>11</v>
      </c>
      <c r="F5" s="14"/>
      <c r="G5" s="4"/>
      <c r="H5" s="15"/>
      <c r="I5" s="15"/>
      <c r="J5" s="15"/>
    </row>
    <row r="6" spans="1:10" x14ac:dyDescent="0.25">
      <c r="A6" s="4" t="s">
        <v>39</v>
      </c>
      <c r="B6" s="2">
        <v>1</v>
      </c>
      <c r="C6" s="4">
        <v>2866</v>
      </c>
      <c r="D6" s="14">
        <v>1895</v>
      </c>
      <c r="E6" s="14"/>
      <c r="F6" s="14">
        <v>647</v>
      </c>
      <c r="G6" s="4"/>
      <c r="H6" s="4">
        <v>793</v>
      </c>
      <c r="I6" s="4">
        <f>J6+H6+G6+F6+E6+D6-C6</f>
        <v>469</v>
      </c>
      <c r="J6" s="4"/>
    </row>
    <row r="7" spans="1:10" x14ac:dyDescent="0.25">
      <c r="A7" s="4" t="s">
        <v>40</v>
      </c>
      <c r="B7" s="2">
        <v>1</v>
      </c>
      <c r="C7" s="4">
        <v>2866</v>
      </c>
      <c r="D7" s="14">
        <v>2105</v>
      </c>
      <c r="E7" s="14"/>
      <c r="F7" s="14">
        <v>647</v>
      </c>
      <c r="G7" s="4"/>
      <c r="H7" s="4">
        <v>793</v>
      </c>
      <c r="I7" s="4">
        <f t="shared" ref="I7:I15" si="0">J7+H7+G7+F7+E7+D7-C7</f>
        <v>679</v>
      </c>
      <c r="J7" s="4"/>
    </row>
    <row r="8" spans="1:10" x14ac:dyDescent="0.25">
      <c r="A8" s="4" t="s">
        <v>113</v>
      </c>
      <c r="B8" s="2">
        <v>1</v>
      </c>
      <c r="C8" s="4">
        <v>1433</v>
      </c>
      <c r="D8" s="14">
        <v>1302</v>
      </c>
      <c r="E8" s="14"/>
      <c r="F8" s="14"/>
      <c r="G8" s="4"/>
      <c r="H8" s="4">
        <v>377</v>
      </c>
      <c r="I8" s="4">
        <f t="shared" si="0"/>
        <v>246</v>
      </c>
      <c r="J8" s="4"/>
    </row>
    <row r="9" spans="1:10" x14ac:dyDescent="0.25">
      <c r="A9" s="4" t="s">
        <v>41</v>
      </c>
      <c r="B9" s="2">
        <v>1</v>
      </c>
      <c r="C9" s="4">
        <v>1433</v>
      </c>
      <c r="D9" s="14">
        <v>1211</v>
      </c>
      <c r="E9" s="14"/>
      <c r="F9" s="14"/>
      <c r="G9" s="4"/>
      <c r="H9" s="4">
        <v>416</v>
      </c>
      <c r="I9" s="4">
        <f t="shared" si="0"/>
        <v>194</v>
      </c>
      <c r="J9" s="4"/>
    </row>
    <row r="10" spans="1:10" x14ac:dyDescent="0.25">
      <c r="A10" s="4" t="s">
        <v>24</v>
      </c>
      <c r="B10" s="2">
        <v>1</v>
      </c>
      <c r="C10" s="4">
        <v>5732</v>
      </c>
      <c r="D10" s="14">
        <v>5424</v>
      </c>
      <c r="E10" s="14"/>
      <c r="F10" s="14">
        <v>1294</v>
      </c>
      <c r="G10" s="4"/>
      <c r="H10" s="4">
        <v>1586</v>
      </c>
      <c r="I10" s="4">
        <f t="shared" si="0"/>
        <v>2572</v>
      </c>
      <c r="J10" s="4"/>
    </row>
    <row r="11" spans="1:10" x14ac:dyDescent="0.25">
      <c r="A11" s="4" t="s">
        <v>42</v>
      </c>
      <c r="B11" s="2">
        <v>1</v>
      </c>
      <c r="C11" s="4">
        <v>5732</v>
      </c>
      <c r="D11" s="14">
        <v>6625</v>
      </c>
      <c r="E11" s="14"/>
      <c r="F11" s="14"/>
      <c r="G11" s="4"/>
      <c r="H11" s="4">
        <v>1586</v>
      </c>
      <c r="I11" s="4">
        <f t="shared" si="0"/>
        <v>2479</v>
      </c>
      <c r="J11" s="4"/>
    </row>
    <row r="12" spans="1:10" x14ac:dyDescent="0.25">
      <c r="A12" s="4" t="s">
        <v>43</v>
      </c>
      <c r="B12" s="2">
        <v>1</v>
      </c>
      <c r="C12" s="4">
        <v>2866</v>
      </c>
      <c r="D12" s="14">
        <v>10000</v>
      </c>
      <c r="E12" s="14"/>
      <c r="F12" s="14">
        <v>647</v>
      </c>
      <c r="G12" s="4"/>
      <c r="H12" s="4">
        <v>793</v>
      </c>
      <c r="I12" s="4">
        <f t="shared" si="0"/>
        <v>8574</v>
      </c>
      <c r="J12" s="4"/>
    </row>
    <row r="13" spans="1:10" x14ac:dyDescent="0.25">
      <c r="A13" s="4" t="s">
        <v>45</v>
      </c>
      <c r="B13" s="2">
        <v>1</v>
      </c>
      <c r="C13" s="4">
        <v>2866</v>
      </c>
      <c r="D13" s="14">
        <v>1546</v>
      </c>
      <c r="E13" s="14"/>
      <c r="F13" s="14">
        <v>647</v>
      </c>
      <c r="G13" s="4"/>
      <c r="H13" s="4">
        <v>793</v>
      </c>
      <c r="I13" s="4">
        <f t="shared" si="0"/>
        <v>120</v>
      </c>
      <c r="J13" s="4"/>
    </row>
    <row r="14" spans="1:10" x14ac:dyDescent="0.25">
      <c r="A14" s="4"/>
      <c r="B14" s="2">
        <v>1</v>
      </c>
      <c r="C14" s="4"/>
      <c r="D14" s="14"/>
      <c r="E14" s="14"/>
      <c r="F14" s="14"/>
      <c r="G14" s="4"/>
      <c r="H14" s="4"/>
      <c r="I14" s="4">
        <f t="shared" si="0"/>
        <v>0</v>
      </c>
      <c r="J14" s="4"/>
    </row>
    <row r="15" spans="1:10" x14ac:dyDescent="0.25">
      <c r="A15" s="4"/>
      <c r="B15" s="2">
        <v>1</v>
      </c>
      <c r="C15" s="4"/>
      <c r="D15" s="14"/>
      <c r="E15" s="14"/>
      <c r="F15" s="14"/>
      <c r="G15" s="4"/>
      <c r="H15" s="4"/>
      <c r="I15" s="4">
        <f t="shared" si="0"/>
        <v>0</v>
      </c>
      <c r="J15" s="4"/>
    </row>
    <row r="18" spans="1:10" ht="33.6" customHeight="1" x14ac:dyDescent="0.25">
      <c r="A18" s="9" t="s">
        <v>37</v>
      </c>
      <c r="B18" s="10"/>
    </row>
    <row r="19" spans="1:10" x14ac:dyDescent="0.25">
      <c r="A19" s="14" t="s">
        <v>1</v>
      </c>
      <c r="B19" s="14"/>
      <c r="C19" s="14"/>
      <c r="D19" s="14" t="s">
        <v>2</v>
      </c>
      <c r="E19" s="14"/>
      <c r="F19" s="14"/>
      <c r="G19" s="14"/>
    </row>
    <row r="20" spans="1:10" x14ac:dyDescent="0.25">
      <c r="A20" s="14" t="s">
        <v>3</v>
      </c>
      <c r="B20" s="14">
        <f>B19-E19</f>
        <v>0</v>
      </c>
      <c r="C20" s="14"/>
      <c r="D20" s="14"/>
      <c r="E20" s="14"/>
      <c r="F20" s="14"/>
      <c r="G20" s="14"/>
    </row>
    <row r="21" spans="1:10" ht="42" x14ac:dyDescent="0.25">
      <c r="A21" s="3" t="s">
        <v>4</v>
      </c>
      <c r="B21" s="3" t="s">
        <v>33</v>
      </c>
      <c r="C21" s="3" t="s">
        <v>5</v>
      </c>
      <c r="D21" s="22" t="s">
        <v>6</v>
      </c>
      <c r="E21" s="23"/>
      <c r="F21" s="3" t="s">
        <v>7</v>
      </c>
      <c r="G21" s="3" t="s">
        <v>7</v>
      </c>
      <c r="H21" s="3" t="s">
        <v>8</v>
      </c>
      <c r="I21" s="3" t="s">
        <v>9</v>
      </c>
      <c r="J21" s="6" t="s">
        <v>32</v>
      </c>
    </row>
    <row r="22" spans="1:10" x14ac:dyDescent="0.25">
      <c r="A22" s="2"/>
      <c r="B22" s="2"/>
      <c r="C22" s="4"/>
      <c r="D22" s="14" t="s">
        <v>10</v>
      </c>
      <c r="E22" s="14" t="s">
        <v>11</v>
      </c>
      <c r="F22" s="14"/>
      <c r="G22" s="4"/>
      <c r="H22" s="15"/>
      <c r="I22" s="15"/>
      <c r="J22" s="15"/>
    </row>
    <row r="23" spans="1:10" x14ac:dyDescent="0.25">
      <c r="A23" s="4" t="s">
        <v>46</v>
      </c>
      <c r="B23" s="20">
        <v>1</v>
      </c>
      <c r="C23" s="4">
        <v>4800</v>
      </c>
      <c r="D23" s="4">
        <v>4600</v>
      </c>
      <c r="E23" s="4"/>
      <c r="F23" s="4"/>
      <c r="G23" s="4"/>
      <c r="H23" s="4">
        <v>581</v>
      </c>
      <c r="I23" s="4">
        <f>J23+H23+G23+F23+E23+D23-C23</f>
        <v>381</v>
      </c>
      <c r="J23" s="4"/>
    </row>
    <row r="24" spans="1:10" x14ac:dyDescent="0.25">
      <c r="A24" s="4" t="s">
        <v>0</v>
      </c>
      <c r="B24" s="16">
        <v>1</v>
      </c>
      <c r="C24" s="4">
        <v>4800</v>
      </c>
      <c r="D24" s="4">
        <v>4578</v>
      </c>
      <c r="E24" s="4"/>
      <c r="F24" s="4">
        <v>182</v>
      </c>
      <c r="G24" s="4"/>
      <c r="H24" s="4">
        <v>581</v>
      </c>
      <c r="I24" s="4">
        <f t="shared" ref="I24:I30" si="1">J24+H24+G24+F24+E24+D24-C24</f>
        <v>541</v>
      </c>
      <c r="J24" s="4"/>
    </row>
    <row r="25" spans="1:10" x14ac:dyDescent="0.25">
      <c r="A25" s="4" t="s">
        <v>23</v>
      </c>
      <c r="B25" s="20">
        <v>1</v>
      </c>
      <c r="C25" s="4">
        <v>4800</v>
      </c>
      <c r="D25" s="4">
        <v>4404</v>
      </c>
      <c r="E25" s="4"/>
      <c r="F25" s="4">
        <v>182</v>
      </c>
      <c r="G25" s="4"/>
      <c r="H25" s="4">
        <v>581</v>
      </c>
      <c r="I25" s="4">
        <f t="shared" si="1"/>
        <v>367</v>
      </c>
      <c r="J25" s="4"/>
    </row>
    <row r="26" spans="1:10" x14ac:dyDescent="0.25">
      <c r="A26" s="4" t="s">
        <v>47</v>
      </c>
      <c r="B26" s="20">
        <v>1</v>
      </c>
      <c r="C26" s="4">
        <v>4800</v>
      </c>
      <c r="D26" s="4">
        <v>6800</v>
      </c>
      <c r="E26" s="4"/>
      <c r="F26" s="4"/>
      <c r="G26" s="4"/>
      <c r="H26" s="4">
        <v>581</v>
      </c>
      <c r="I26" s="4">
        <f t="shared" si="1"/>
        <v>2581</v>
      </c>
      <c r="J26" s="4"/>
    </row>
    <row r="27" spans="1:10" x14ac:dyDescent="0.25">
      <c r="A27" s="4" t="s">
        <v>48</v>
      </c>
      <c r="B27" s="20">
        <v>1</v>
      </c>
      <c r="C27" s="4">
        <v>4800</v>
      </c>
      <c r="D27" s="4">
        <v>6523</v>
      </c>
      <c r="E27" s="4"/>
      <c r="F27" s="4"/>
      <c r="G27" s="4"/>
      <c r="H27" s="4">
        <v>581</v>
      </c>
      <c r="I27" s="4">
        <f t="shared" si="1"/>
        <v>2304</v>
      </c>
      <c r="J27" s="4"/>
    </row>
    <row r="28" spans="1:10" x14ac:dyDescent="0.25">
      <c r="A28" s="4" t="s">
        <v>49</v>
      </c>
      <c r="B28" s="20">
        <v>1</v>
      </c>
      <c r="C28" s="4">
        <v>4800</v>
      </c>
      <c r="D28" s="4">
        <v>4600</v>
      </c>
      <c r="E28" s="4"/>
      <c r="F28" s="4">
        <v>182</v>
      </c>
      <c r="G28" s="4"/>
      <c r="H28" s="4">
        <v>581</v>
      </c>
      <c r="I28" s="4">
        <f t="shared" si="1"/>
        <v>563</v>
      </c>
      <c r="J28" s="4"/>
    </row>
    <row r="29" spans="1:10" x14ac:dyDescent="0.25">
      <c r="A29" s="21"/>
      <c r="B29" s="20">
        <v>1</v>
      </c>
      <c r="C29" s="4"/>
      <c r="D29" s="4"/>
      <c r="E29" s="4"/>
      <c r="F29" s="4"/>
      <c r="G29" s="4"/>
      <c r="H29" s="4"/>
      <c r="I29" s="4">
        <f t="shared" si="1"/>
        <v>0</v>
      </c>
      <c r="J29" s="4"/>
    </row>
    <row r="30" spans="1:10" x14ac:dyDescent="0.25">
      <c r="A30" s="21"/>
      <c r="B30" s="20">
        <v>1</v>
      </c>
      <c r="C30" s="4"/>
      <c r="D30" s="4"/>
      <c r="E30" s="4"/>
      <c r="F30" s="15"/>
      <c r="G30" s="15"/>
      <c r="H30" s="4"/>
      <c r="I30" s="4">
        <f t="shared" si="1"/>
        <v>0</v>
      </c>
      <c r="J30" s="4"/>
    </row>
  </sheetData>
  <mergeCells count="2">
    <mergeCell ref="D4:E4"/>
    <mergeCell ref="D21:E2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workbookViewId="0">
      <pane ySplit="1" topLeftCell="A5" activePane="bottomLeft" state="frozen"/>
      <selection pane="bottomLeft" activeCell="K24" sqref="K24"/>
    </sheetView>
  </sheetViews>
  <sheetFormatPr defaultColWidth="8.88671875" defaultRowHeight="13.8" x14ac:dyDescent="0.25"/>
  <cols>
    <col min="1" max="1" width="27.109375" style="12" customWidth="1"/>
    <col min="2" max="2" width="9.44140625" style="12" customWidth="1"/>
    <col min="3" max="3" width="10.21875" style="12" customWidth="1"/>
    <col min="4" max="4" width="12.88671875" style="12" customWidth="1"/>
    <col min="5" max="5" width="12.77734375" style="12" customWidth="1"/>
    <col min="6" max="6" width="11" style="12" customWidth="1"/>
    <col min="7" max="7" width="10.88671875" style="12" customWidth="1"/>
    <col min="8" max="8" width="8.88671875" style="12"/>
    <col min="9" max="9" width="10.44140625" style="12" customWidth="1"/>
    <col min="10" max="16384" width="8.88671875" style="12"/>
  </cols>
  <sheetData>
    <row r="1" spans="1:10" ht="24.6" customHeight="1" x14ac:dyDescent="0.25">
      <c r="A1" s="17" t="s">
        <v>38</v>
      </c>
      <c r="B1" s="10"/>
    </row>
    <row r="2" spans="1:10" ht="16.2" customHeight="1" x14ac:dyDescent="0.25">
      <c r="A2" s="14" t="s">
        <v>1</v>
      </c>
      <c r="B2" s="14"/>
      <c r="C2" s="14"/>
      <c r="D2" s="14" t="s">
        <v>2</v>
      </c>
      <c r="E2" s="14"/>
      <c r="F2" s="14"/>
      <c r="G2" s="14"/>
    </row>
    <row r="3" spans="1:10" x14ac:dyDescent="0.25">
      <c r="A3" s="14" t="s">
        <v>3</v>
      </c>
      <c r="B3" s="14">
        <f t="shared" ref="B3" si="0">B2-E2</f>
        <v>0</v>
      </c>
      <c r="C3" s="14"/>
      <c r="D3" s="14"/>
      <c r="E3" s="14"/>
      <c r="F3" s="14"/>
      <c r="G3" s="14"/>
    </row>
    <row r="4" spans="1:10" ht="42" x14ac:dyDescent="0.25">
      <c r="A4" s="3" t="s">
        <v>4</v>
      </c>
      <c r="B4" s="3" t="s">
        <v>33</v>
      </c>
      <c r="C4" s="3" t="s">
        <v>5</v>
      </c>
      <c r="D4" s="22" t="s">
        <v>6</v>
      </c>
      <c r="E4" s="23"/>
      <c r="F4" s="3" t="s">
        <v>7</v>
      </c>
      <c r="G4" s="3" t="s">
        <v>7</v>
      </c>
      <c r="H4" s="3" t="s">
        <v>8</v>
      </c>
      <c r="I4" s="3" t="s">
        <v>9</v>
      </c>
      <c r="J4" s="18" t="s">
        <v>32</v>
      </c>
    </row>
    <row r="5" spans="1:10" x14ac:dyDescent="0.25">
      <c r="A5" s="2"/>
      <c r="B5" s="2"/>
      <c r="C5" s="4"/>
      <c r="D5" s="14" t="s">
        <v>10</v>
      </c>
      <c r="E5" s="14" t="s">
        <v>11</v>
      </c>
      <c r="F5" s="14"/>
      <c r="G5" s="4"/>
      <c r="H5" s="15"/>
      <c r="I5" s="15"/>
      <c r="J5" s="15"/>
    </row>
    <row r="6" spans="1:10" x14ac:dyDescent="0.25">
      <c r="A6" s="4" t="s">
        <v>115</v>
      </c>
      <c r="B6" s="4">
        <v>2</v>
      </c>
      <c r="C6" s="4">
        <v>1200</v>
      </c>
      <c r="D6" s="4">
        <v>3696</v>
      </c>
      <c r="E6" s="4">
        <v>484</v>
      </c>
      <c r="F6" s="4">
        <v>274</v>
      </c>
      <c r="G6" s="4">
        <v>972</v>
      </c>
      <c r="H6" s="4">
        <v>722</v>
      </c>
      <c r="I6" s="4">
        <f>J6+H6+G6+F6+E6+D6-C6</f>
        <v>4948</v>
      </c>
      <c r="J6" s="15"/>
    </row>
    <row r="7" spans="1:10" x14ac:dyDescent="0.25">
      <c r="A7" s="4" t="s">
        <v>27</v>
      </c>
      <c r="B7" s="4">
        <v>2</v>
      </c>
      <c r="C7" s="4">
        <v>1200</v>
      </c>
      <c r="D7" s="4"/>
      <c r="E7" s="4">
        <v>2000</v>
      </c>
      <c r="F7" s="4">
        <v>274</v>
      </c>
      <c r="G7" s="4">
        <v>972</v>
      </c>
      <c r="H7" s="4">
        <v>722</v>
      </c>
      <c r="I7" s="4">
        <f t="shared" ref="I7:I15" si="1">J7+H7+G7+F7+E7+D7-C7</f>
        <v>2768</v>
      </c>
      <c r="J7" s="15"/>
    </row>
    <row r="8" spans="1:10" x14ac:dyDescent="0.25">
      <c r="A8" s="4" t="s">
        <v>116</v>
      </c>
      <c r="B8" s="4">
        <v>1</v>
      </c>
      <c r="C8" s="4">
        <v>1200</v>
      </c>
      <c r="D8" s="4">
        <v>1440</v>
      </c>
      <c r="E8" s="4">
        <v>77</v>
      </c>
      <c r="F8" s="4"/>
      <c r="G8" s="4">
        <v>486</v>
      </c>
      <c r="H8" s="4">
        <v>361</v>
      </c>
      <c r="I8" s="4">
        <f t="shared" si="1"/>
        <v>1164</v>
      </c>
      <c r="J8" s="15"/>
    </row>
    <row r="9" spans="1:10" x14ac:dyDescent="0.25">
      <c r="A9" s="4" t="s">
        <v>117</v>
      </c>
      <c r="B9" s="4">
        <v>1</v>
      </c>
      <c r="C9" s="4">
        <v>1200</v>
      </c>
      <c r="D9" s="4"/>
      <c r="E9" s="4">
        <v>1104</v>
      </c>
      <c r="F9" s="4"/>
      <c r="G9" s="4">
        <v>486</v>
      </c>
      <c r="H9" s="4">
        <v>361</v>
      </c>
      <c r="I9" s="4">
        <f t="shared" si="1"/>
        <v>751</v>
      </c>
      <c r="J9" s="15"/>
    </row>
    <row r="10" spans="1:10" x14ac:dyDescent="0.25">
      <c r="A10" s="4" t="s">
        <v>28</v>
      </c>
      <c r="B10" s="4">
        <v>2</v>
      </c>
      <c r="C10" s="4">
        <v>1200</v>
      </c>
      <c r="D10" s="4">
        <v>1500</v>
      </c>
      <c r="E10" s="4"/>
      <c r="F10" s="4">
        <v>460</v>
      </c>
      <c r="G10" s="4">
        <v>972</v>
      </c>
      <c r="H10" s="4">
        <v>722</v>
      </c>
      <c r="I10" s="4">
        <f t="shared" si="1"/>
        <v>2454</v>
      </c>
      <c r="J10" s="15"/>
    </row>
    <row r="11" spans="1:10" x14ac:dyDescent="0.25">
      <c r="A11" s="4" t="s">
        <v>26</v>
      </c>
      <c r="B11" s="4">
        <v>2</v>
      </c>
      <c r="C11" s="4">
        <v>1200</v>
      </c>
      <c r="D11" s="4"/>
      <c r="E11" s="4">
        <v>280</v>
      </c>
      <c r="F11" s="4">
        <v>460</v>
      </c>
      <c r="G11" s="4">
        <v>972</v>
      </c>
      <c r="H11" s="4">
        <v>722</v>
      </c>
      <c r="I11" s="4">
        <f t="shared" si="1"/>
        <v>1234</v>
      </c>
      <c r="J11" s="15"/>
    </row>
    <row r="12" spans="1:10" x14ac:dyDescent="0.25">
      <c r="A12" s="4" t="s">
        <v>118</v>
      </c>
      <c r="B12" s="4">
        <v>2</v>
      </c>
      <c r="C12" s="4">
        <v>1200</v>
      </c>
      <c r="D12" s="4">
        <v>576</v>
      </c>
      <c r="E12" s="4">
        <v>196</v>
      </c>
      <c r="F12" s="4"/>
      <c r="G12" s="4">
        <v>486</v>
      </c>
      <c r="H12" s="4">
        <v>361</v>
      </c>
      <c r="I12" s="4">
        <f t="shared" si="1"/>
        <v>419</v>
      </c>
      <c r="J12" s="15"/>
    </row>
    <row r="13" spans="1:10" x14ac:dyDescent="0.25">
      <c r="A13" s="4" t="s">
        <v>121</v>
      </c>
      <c r="B13" s="4">
        <v>2</v>
      </c>
      <c r="C13" s="4">
        <v>1200</v>
      </c>
      <c r="D13" s="4"/>
      <c r="E13" s="4"/>
      <c r="F13" s="4">
        <v>2500</v>
      </c>
      <c r="G13" s="4">
        <v>972</v>
      </c>
      <c r="H13" s="4">
        <v>722</v>
      </c>
      <c r="I13" s="4">
        <f t="shared" si="1"/>
        <v>2994</v>
      </c>
      <c r="J13" s="15"/>
    </row>
    <row r="14" spans="1:10" x14ac:dyDescent="0.25">
      <c r="A14" s="4" t="s">
        <v>25</v>
      </c>
      <c r="B14" s="4">
        <v>2</v>
      </c>
      <c r="C14" s="4">
        <v>1200</v>
      </c>
      <c r="D14" s="4">
        <v>5000</v>
      </c>
      <c r="E14" s="4"/>
      <c r="F14" s="4">
        <v>2500</v>
      </c>
      <c r="G14" s="4">
        <v>972</v>
      </c>
      <c r="H14" s="4">
        <v>722</v>
      </c>
      <c r="I14" s="4">
        <f t="shared" si="1"/>
        <v>7994</v>
      </c>
      <c r="J14" s="15"/>
    </row>
    <row r="15" spans="1:10" x14ac:dyDescent="0.25">
      <c r="A15" s="4" t="s">
        <v>122</v>
      </c>
      <c r="B15" s="4">
        <v>2</v>
      </c>
      <c r="C15" s="4">
        <v>1200</v>
      </c>
      <c r="D15" s="4">
        <v>5400</v>
      </c>
      <c r="E15" s="4">
        <v>780</v>
      </c>
      <c r="F15" s="4"/>
      <c r="G15" s="4"/>
      <c r="H15" s="4">
        <v>722</v>
      </c>
      <c r="I15" s="4">
        <f t="shared" si="1"/>
        <v>5702</v>
      </c>
      <c r="J15" s="15"/>
    </row>
    <row r="16" spans="1:10" x14ac:dyDescent="0.25">
      <c r="A16" s="4"/>
    </row>
    <row r="17" spans="1:10" ht="20.399999999999999" customHeight="1" x14ac:dyDescent="0.25">
      <c r="A17" s="17" t="s">
        <v>119</v>
      </c>
      <c r="B17" s="10"/>
    </row>
    <row r="18" spans="1:10" x14ac:dyDescent="0.25">
      <c r="A18" s="14" t="s">
        <v>1</v>
      </c>
      <c r="B18" s="14"/>
      <c r="C18" s="14"/>
      <c r="D18" s="14" t="s">
        <v>2</v>
      </c>
      <c r="E18" s="14"/>
      <c r="F18" s="14"/>
      <c r="G18" s="14"/>
    </row>
    <row r="19" spans="1:10" x14ac:dyDescent="0.25">
      <c r="A19" s="14" t="s">
        <v>3</v>
      </c>
      <c r="B19" s="14">
        <f t="shared" ref="B19" si="2">B18-E18</f>
        <v>0</v>
      </c>
      <c r="C19" s="14"/>
      <c r="D19" s="14"/>
      <c r="E19" s="14"/>
      <c r="F19" s="14"/>
      <c r="G19" s="14"/>
    </row>
    <row r="20" spans="1:10" ht="42" x14ac:dyDescent="0.25">
      <c r="A20" s="3" t="s">
        <v>4</v>
      </c>
      <c r="B20" s="3" t="s">
        <v>33</v>
      </c>
      <c r="C20" s="3" t="s">
        <v>5</v>
      </c>
      <c r="D20" s="22" t="s">
        <v>6</v>
      </c>
      <c r="E20" s="23"/>
      <c r="F20" s="3" t="s">
        <v>7</v>
      </c>
      <c r="G20" s="3" t="s">
        <v>7</v>
      </c>
      <c r="H20" s="3" t="s">
        <v>8</v>
      </c>
      <c r="I20" s="3" t="s">
        <v>9</v>
      </c>
      <c r="J20" s="18" t="s">
        <v>32</v>
      </c>
    </row>
    <row r="21" spans="1:10" x14ac:dyDescent="0.25">
      <c r="A21" s="2"/>
      <c r="B21" s="2"/>
      <c r="C21" s="4"/>
      <c r="D21" s="14" t="s">
        <v>10</v>
      </c>
      <c r="E21" s="14" t="s">
        <v>11</v>
      </c>
      <c r="F21" s="14"/>
      <c r="G21" s="4"/>
      <c r="H21" s="15"/>
      <c r="I21" s="15"/>
      <c r="J21" s="15"/>
    </row>
    <row r="22" spans="1:10" x14ac:dyDescent="0.25">
      <c r="A22" s="4" t="s">
        <v>114</v>
      </c>
      <c r="B22" s="4">
        <v>1</v>
      </c>
      <c r="C22" s="4">
        <v>1980</v>
      </c>
      <c r="D22" s="4">
        <v>1500</v>
      </c>
      <c r="E22" s="4">
        <v>550</v>
      </c>
      <c r="F22" s="4">
        <v>23</v>
      </c>
      <c r="G22" s="4"/>
      <c r="H22" s="4">
        <v>100</v>
      </c>
      <c r="I22" s="4">
        <f>J22+H22+G22+F22+E22+D22-C22</f>
        <v>193</v>
      </c>
      <c r="J22" s="15"/>
    </row>
    <row r="23" spans="1:10" x14ac:dyDescent="0.25">
      <c r="A23" s="4" t="s">
        <v>50</v>
      </c>
      <c r="B23" s="4">
        <v>1</v>
      </c>
      <c r="C23" s="4">
        <v>1980</v>
      </c>
      <c r="D23" s="4">
        <v>895</v>
      </c>
      <c r="E23" s="4">
        <v>985</v>
      </c>
      <c r="F23" s="4"/>
      <c r="G23" s="4"/>
      <c r="H23" s="4">
        <v>100</v>
      </c>
      <c r="I23" s="4">
        <f t="shared" ref="I23:I33" si="3">J23+H23+G23+F23+E23+D23-C23</f>
        <v>0</v>
      </c>
      <c r="J23" s="15"/>
    </row>
    <row r="24" spans="1:10" x14ac:dyDescent="0.25">
      <c r="A24" s="4" t="s">
        <v>51</v>
      </c>
      <c r="B24" s="4">
        <v>1</v>
      </c>
      <c r="C24" s="4">
        <v>1980</v>
      </c>
      <c r="D24" s="4"/>
      <c r="E24" s="4">
        <v>2174</v>
      </c>
      <c r="F24" s="4">
        <v>77</v>
      </c>
      <c r="G24" s="4"/>
      <c r="H24" s="4">
        <v>100</v>
      </c>
      <c r="I24" s="4">
        <f t="shared" si="3"/>
        <v>371</v>
      </c>
      <c r="J24" s="15"/>
    </row>
    <row r="25" spans="1:10" x14ac:dyDescent="0.25">
      <c r="A25" s="4" t="s">
        <v>52</v>
      </c>
      <c r="B25" s="4">
        <v>1</v>
      </c>
      <c r="C25" s="4">
        <v>1980</v>
      </c>
      <c r="D25" s="4"/>
      <c r="E25" s="4">
        <v>2174</v>
      </c>
      <c r="F25" s="4">
        <v>77</v>
      </c>
      <c r="G25" s="4"/>
      <c r="H25" s="4">
        <v>100</v>
      </c>
      <c r="I25" s="4">
        <f t="shared" si="3"/>
        <v>371</v>
      </c>
      <c r="J25" s="15"/>
    </row>
    <row r="26" spans="1:10" x14ac:dyDescent="0.25">
      <c r="A26" s="4" t="s">
        <v>53</v>
      </c>
      <c r="B26" s="4">
        <v>1</v>
      </c>
      <c r="C26" s="4"/>
      <c r="D26" s="4"/>
      <c r="E26" s="4"/>
      <c r="F26" s="4"/>
      <c r="G26" s="4"/>
      <c r="H26" s="4"/>
      <c r="I26" s="4">
        <f t="shared" si="3"/>
        <v>0</v>
      </c>
      <c r="J26" s="15"/>
    </row>
    <row r="27" spans="1:10" x14ac:dyDescent="0.25">
      <c r="A27" s="4" t="s">
        <v>54</v>
      </c>
      <c r="B27" s="4">
        <v>1</v>
      </c>
      <c r="C27" s="4"/>
      <c r="D27" s="4"/>
      <c r="E27" s="4"/>
      <c r="F27" s="4"/>
      <c r="G27" s="4"/>
      <c r="H27" s="4"/>
      <c r="I27" s="4">
        <f t="shared" si="3"/>
        <v>0</v>
      </c>
      <c r="J27" s="15"/>
    </row>
    <row r="28" spans="1:10" x14ac:dyDescent="0.25">
      <c r="A28" s="4" t="s">
        <v>55</v>
      </c>
      <c r="B28" s="4">
        <v>1</v>
      </c>
      <c r="C28" s="4">
        <v>1980</v>
      </c>
      <c r="D28" s="4">
        <v>2800</v>
      </c>
      <c r="E28" s="4"/>
      <c r="F28" s="4">
        <v>23</v>
      </c>
      <c r="G28" s="4"/>
      <c r="H28" s="4">
        <v>100</v>
      </c>
      <c r="I28" s="4">
        <f t="shared" si="3"/>
        <v>943</v>
      </c>
      <c r="J28" s="15"/>
    </row>
    <row r="29" spans="1:10" x14ac:dyDescent="0.25">
      <c r="A29" s="4" t="s">
        <v>56</v>
      </c>
      <c r="B29" s="4">
        <v>1</v>
      </c>
      <c r="C29" s="4">
        <v>1980</v>
      </c>
      <c r="D29" s="4">
        <v>1400</v>
      </c>
      <c r="E29" s="4">
        <v>460</v>
      </c>
      <c r="F29" s="4">
        <v>154</v>
      </c>
      <c r="G29" s="4">
        <v>23</v>
      </c>
      <c r="H29" s="4">
        <v>100</v>
      </c>
      <c r="I29" s="4">
        <f t="shared" si="3"/>
        <v>157</v>
      </c>
      <c r="J29" s="15"/>
    </row>
    <row r="30" spans="1:10" x14ac:dyDescent="0.25">
      <c r="A30" s="4" t="s">
        <v>57</v>
      </c>
      <c r="B30" s="4">
        <v>1</v>
      </c>
      <c r="C30" s="4"/>
      <c r="D30" s="4"/>
      <c r="E30" s="4"/>
      <c r="F30" s="4"/>
      <c r="G30" s="4"/>
      <c r="H30" s="4"/>
      <c r="I30" s="4">
        <f t="shared" si="3"/>
        <v>0</v>
      </c>
      <c r="J30" s="15"/>
    </row>
    <row r="31" spans="1:10" x14ac:dyDescent="0.25">
      <c r="A31" s="4" t="s">
        <v>58</v>
      </c>
      <c r="B31" s="4">
        <v>1</v>
      </c>
      <c r="C31" s="4">
        <v>1980</v>
      </c>
      <c r="D31" s="4">
        <v>2500</v>
      </c>
      <c r="E31" s="4">
        <v>480</v>
      </c>
      <c r="F31" s="4">
        <v>154</v>
      </c>
      <c r="G31" s="4">
        <v>23</v>
      </c>
      <c r="H31" s="4">
        <v>100</v>
      </c>
      <c r="I31" s="4">
        <f t="shared" si="3"/>
        <v>1277</v>
      </c>
      <c r="J31" s="15"/>
    </row>
    <row r="32" spans="1:10" x14ac:dyDescent="0.25">
      <c r="A32" s="4" t="s">
        <v>59</v>
      </c>
      <c r="B32" s="4">
        <v>1</v>
      </c>
      <c r="C32" s="4">
        <v>1980</v>
      </c>
      <c r="D32" s="4">
        <v>1047</v>
      </c>
      <c r="E32" s="4">
        <v>639</v>
      </c>
      <c r="F32" s="4">
        <v>77</v>
      </c>
      <c r="G32" s="4"/>
      <c r="H32" s="4">
        <v>100</v>
      </c>
      <c r="I32" s="18">
        <f t="shared" si="3"/>
        <v>-117</v>
      </c>
      <c r="J32" s="15"/>
    </row>
    <row r="33" spans="1:10" x14ac:dyDescent="0.25">
      <c r="A33" s="4" t="s">
        <v>60</v>
      </c>
      <c r="B33" s="4">
        <v>1</v>
      </c>
      <c r="C33" s="4"/>
      <c r="D33" s="4"/>
      <c r="E33" s="4"/>
      <c r="F33" s="4"/>
      <c r="G33" s="4"/>
      <c r="H33" s="4"/>
      <c r="I33" s="4">
        <f t="shared" si="3"/>
        <v>0</v>
      </c>
      <c r="J33" s="15"/>
    </row>
  </sheetData>
  <mergeCells count="2">
    <mergeCell ref="D4:E4"/>
    <mergeCell ref="D20:E2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tabSelected="1" workbookViewId="0">
      <pane ySplit="3" topLeftCell="A4" activePane="bottomLeft" state="frozen"/>
      <selection pane="bottomLeft" activeCell="L38" sqref="L38"/>
    </sheetView>
  </sheetViews>
  <sheetFormatPr defaultColWidth="8.88671875" defaultRowHeight="13.8" x14ac:dyDescent="0.25"/>
  <cols>
    <col min="1" max="1" width="24.21875" style="7" customWidth="1"/>
    <col min="2" max="2" width="8.77734375" style="7" customWidth="1"/>
    <col min="3" max="3" width="12.109375" style="7" customWidth="1"/>
    <col min="4" max="4" width="11.77734375" style="7" customWidth="1"/>
    <col min="5" max="5" width="13.77734375" style="7" customWidth="1"/>
    <col min="6" max="6" width="11.21875" style="7" customWidth="1"/>
    <col min="7" max="7" width="15.44140625" style="7" customWidth="1"/>
    <col min="8" max="8" width="14.21875" style="7" customWidth="1"/>
    <col min="9" max="9" width="11.109375" style="7" customWidth="1"/>
    <col min="10" max="11" width="8.88671875" style="7"/>
    <col min="12" max="12" width="23.21875" style="7" customWidth="1"/>
    <col min="13" max="16384" width="8.88671875" style="7"/>
  </cols>
  <sheetData>
    <row r="1" spans="1:11" ht="27" customHeight="1" x14ac:dyDescent="0.25">
      <c r="A1" s="17" t="s">
        <v>61</v>
      </c>
      <c r="B1" s="10"/>
    </row>
    <row r="2" spans="1:11" x14ac:dyDescent="0.25">
      <c r="A2" s="1" t="s">
        <v>1</v>
      </c>
      <c r="B2" s="1"/>
      <c r="C2" s="1"/>
      <c r="D2" s="1" t="s">
        <v>2</v>
      </c>
      <c r="E2" s="1">
        <v>0</v>
      </c>
      <c r="F2" s="1"/>
      <c r="G2" s="1"/>
    </row>
    <row r="3" spans="1:11" x14ac:dyDescent="0.25">
      <c r="A3" s="1" t="s">
        <v>3</v>
      </c>
      <c r="B3" s="1">
        <f>B2-E2</f>
        <v>0</v>
      </c>
      <c r="C3" s="1"/>
      <c r="D3" s="1"/>
      <c r="E3" s="1"/>
      <c r="F3" s="1"/>
      <c r="G3" s="1"/>
    </row>
    <row r="4" spans="1:11" ht="42" x14ac:dyDescent="0.25">
      <c r="A4" s="3" t="s">
        <v>4</v>
      </c>
      <c r="B4" s="3" t="s">
        <v>33</v>
      </c>
      <c r="C4" s="3" t="s">
        <v>5</v>
      </c>
      <c r="D4" s="22" t="s">
        <v>6</v>
      </c>
      <c r="E4" s="23"/>
      <c r="F4" s="3" t="s">
        <v>29</v>
      </c>
      <c r="G4" s="3" t="s">
        <v>30</v>
      </c>
      <c r="H4" s="3" t="s">
        <v>31</v>
      </c>
      <c r="I4" s="3" t="s">
        <v>34</v>
      </c>
      <c r="J4" s="3" t="s">
        <v>9</v>
      </c>
      <c r="K4" s="19" t="s">
        <v>32</v>
      </c>
    </row>
    <row r="5" spans="1:11" x14ac:dyDescent="0.25">
      <c r="A5" s="2"/>
      <c r="B5" s="2"/>
      <c r="C5" s="11">
        <v>1931</v>
      </c>
      <c r="D5" s="1" t="s">
        <v>10</v>
      </c>
      <c r="E5" s="1" t="s">
        <v>11</v>
      </c>
      <c r="F5" s="1">
        <v>48</v>
      </c>
      <c r="G5" s="4">
        <v>644</v>
      </c>
      <c r="I5" s="8">
        <v>35</v>
      </c>
      <c r="J5" s="8"/>
      <c r="K5" s="8"/>
    </row>
    <row r="6" spans="1:11" x14ac:dyDescent="0.25">
      <c r="A6" s="11" t="s">
        <v>120</v>
      </c>
      <c r="B6" s="5">
        <v>1</v>
      </c>
      <c r="C6" s="11">
        <v>1931</v>
      </c>
      <c r="D6" s="11"/>
      <c r="E6" s="11">
        <v>1100</v>
      </c>
      <c r="F6" s="11">
        <v>48</v>
      </c>
      <c r="G6" s="4">
        <v>644</v>
      </c>
      <c r="H6" s="8">
        <v>116</v>
      </c>
      <c r="I6" s="11">
        <v>25</v>
      </c>
      <c r="J6" s="13">
        <v>2</v>
      </c>
      <c r="K6" s="11"/>
    </row>
    <row r="7" spans="1:11" x14ac:dyDescent="0.25">
      <c r="A7" s="11" t="s">
        <v>62</v>
      </c>
      <c r="B7" s="5">
        <v>4</v>
      </c>
      <c r="C7" s="11"/>
      <c r="D7" s="11"/>
      <c r="E7" s="11"/>
      <c r="F7" s="11"/>
      <c r="G7" s="4"/>
      <c r="H7" s="8"/>
      <c r="I7" s="11"/>
      <c r="J7" s="13"/>
      <c r="K7" s="11"/>
    </row>
    <row r="8" spans="1:11" x14ac:dyDescent="0.25">
      <c r="A8" s="11" t="s">
        <v>63</v>
      </c>
      <c r="B8" s="5">
        <v>1</v>
      </c>
      <c r="C8" s="11">
        <v>1931</v>
      </c>
      <c r="D8" s="11">
        <v>1890</v>
      </c>
      <c r="E8" s="11"/>
      <c r="F8" s="11">
        <v>48</v>
      </c>
      <c r="G8" s="4">
        <v>644</v>
      </c>
      <c r="H8" s="8">
        <v>116</v>
      </c>
      <c r="I8" s="11">
        <v>25</v>
      </c>
      <c r="J8" s="13">
        <f t="shared" ref="J8:J39" si="0">K8+I8+H8+G8+F8+E8+D8-C8</f>
        <v>792</v>
      </c>
      <c r="K8" s="11"/>
    </row>
    <row r="9" spans="1:11" x14ac:dyDescent="0.25">
      <c r="A9" s="11" t="s">
        <v>64</v>
      </c>
      <c r="B9" s="5">
        <v>1</v>
      </c>
      <c r="C9" s="11">
        <v>1931</v>
      </c>
      <c r="D9" s="11">
        <v>980</v>
      </c>
      <c r="E9" s="11">
        <v>2100</v>
      </c>
      <c r="F9" s="11">
        <v>48</v>
      </c>
      <c r="G9" s="4">
        <v>644</v>
      </c>
      <c r="H9" s="8">
        <v>116</v>
      </c>
      <c r="I9" s="11">
        <v>25</v>
      </c>
      <c r="J9" s="13">
        <f t="shared" si="0"/>
        <v>1982</v>
      </c>
      <c r="K9" s="11"/>
    </row>
    <row r="10" spans="1:11" x14ac:dyDescent="0.25">
      <c r="A10" s="11" t="s">
        <v>21</v>
      </c>
      <c r="B10" s="5">
        <v>4</v>
      </c>
      <c r="C10" s="11">
        <v>7724</v>
      </c>
      <c r="D10" s="11"/>
      <c r="E10" s="11">
        <v>4500</v>
      </c>
      <c r="F10" s="11">
        <v>192</v>
      </c>
      <c r="G10" s="4">
        <v>2576</v>
      </c>
      <c r="H10" s="8">
        <v>464</v>
      </c>
      <c r="I10" s="11">
        <v>100</v>
      </c>
      <c r="J10" s="13">
        <f t="shared" si="0"/>
        <v>108</v>
      </c>
      <c r="K10" s="11"/>
    </row>
    <row r="11" spans="1:11" x14ac:dyDescent="0.25">
      <c r="A11" s="11" t="s">
        <v>22</v>
      </c>
      <c r="B11" s="5">
        <v>1</v>
      </c>
      <c r="C11" s="11">
        <v>1931</v>
      </c>
      <c r="D11" s="11"/>
      <c r="E11" s="11">
        <v>1500</v>
      </c>
      <c r="F11" s="11">
        <v>48</v>
      </c>
      <c r="G11" s="4">
        <v>644</v>
      </c>
      <c r="H11" s="8">
        <v>116</v>
      </c>
      <c r="I11" s="11">
        <v>25</v>
      </c>
      <c r="J11" s="13">
        <f t="shared" si="0"/>
        <v>402</v>
      </c>
      <c r="K11" s="11"/>
    </row>
    <row r="12" spans="1:11" x14ac:dyDescent="0.25">
      <c r="A12" s="11" t="s">
        <v>65</v>
      </c>
      <c r="B12" s="5">
        <v>1</v>
      </c>
      <c r="C12" s="11"/>
      <c r="D12" s="11"/>
      <c r="E12" s="11"/>
      <c r="F12" s="11"/>
      <c r="G12" s="4"/>
      <c r="H12" s="8"/>
      <c r="I12" s="11"/>
      <c r="J12" s="13">
        <f t="shared" si="0"/>
        <v>0</v>
      </c>
      <c r="K12" s="11"/>
    </row>
    <row r="13" spans="1:11" x14ac:dyDescent="0.25">
      <c r="A13" s="11" t="s">
        <v>66</v>
      </c>
      <c r="B13" s="5">
        <v>1</v>
      </c>
      <c r="C13" s="11"/>
      <c r="D13" s="11"/>
      <c r="E13" s="11"/>
      <c r="F13" s="11"/>
      <c r="G13" s="4"/>
      <c r="H13" s="8"/>
      <c r="I13" s="11"/>
      <c r="J13" s="13">
        <f t="shared" si="0"/>
        <v>0</v>
      </c>
      <c r="K13" s="11"/>
    </row>
    <row r="14" spans="1:11" x14ac:dyDescent="0.25">
      <c r="A14" s="11" t="s">
        <v>67</v>
      </c>
      <c r="B14" s="5">
        <v>1</v>
      </c>
      <c r="C14" s="11">
        <v>1931</v>
      </c>
      <c r="D14" s="11">
        <v>832</v>
      </c>
      <c r="E14" s="11">
        <v>264</v>
      </c>
      <c r="F14" s="11">
        <v>48</v>
      </c>
      <c r="G14" s="4">
        <v>644</v>
      </c>
      <c r="H14" s="8">
        <v>116</v>
      </c>
      <c r="I14" s="11">
        <v>25</v>
      </c>
      <c r="J14" s="13">
        <f t="shared" si="0"/>
        <v>0</v>
      </c>
      <c r="K14" s="11">
        <v>2</v>
      </c>
    </row>
    <row r="15" spans="1:11" x14ac:dyDescent="0.25">
      <c r="A15" s="11" t="s">
        <v>68</v>
      </c>
      <c r="B15" s="5">
        <v>2</v>
      </c>
      <c r="C15" s="11">
        <v>3862</v>
      </c>
      <c r="D15" s="11">
        <v>1960</v>
      </c>
      <c r="E15" s="11">
        <v>231</v>
      </c>
      <c r="F15" s="11">
        <v>98</v>
      </c>
      <c r="G15" s="4">
        <v>1288</v>
      </c>
      <c r="H15" s="8">
        <v>232</v>
      </c>
      <c r="I15" s="11">
        <v>50</v>
      </c>
      <c r="J15" s="13">
        <f t="shared" si="0"/>
        <v>0</v>
      </c>
      <c r="K15" s="11">
        <v>3</v>
      </c>
    </row>
    <row r="16" spans="1:11" x14ac:dyDescent="0.25">
      <c r="A16" s="11" t="s">
        <v>53</v>
      </c>
      <c r="B16" s="5">
        <v>1</v>
      </c>
      <c r="C16" s="11"/>
      <c r="D16" s="11"/>
      <c r="E16" s="11"/>
      <c r="F16" s="11"/>
      <c r="G16" s="4"/>
      <c r="H16" s="8"/>
      <c r="I16" s="11"/>
      <c r="J16" s="13">
        <f t="shared" si="0"/>
        <v>0</v>
      </c>
      <c r="K16" s="11"/>
    </row>
    <row r="17" spans="1:11" x14ac:dyDescent="0.25">
      <c r="A17" s="11" t="s">
        <v>54</v>
      </c>
      <c r="B17" s="5">
        <v>1</v>
      </c>
      <c r="C17" s="11">
        <v>1931</v>
      </c>
      <c r="D17" s="11"/>
      <c r="E17" s="11">
        <v>1300</v>
      </c>
      <c r="F17" s="11">
        <v>48</v>
      </c>
      <c r="G17" s="4">
        <v>644</v>
      </c>
      <c r="H17" s="8">
        <v>116</v>
      </c>
      <c r="I17" s="11">
        <v>25</v>
      </c>
      <c r="J17" s="13">
        <f t="shared" si="0"/>
        <v>202</v>
      </c>
      <c r="K17" s="11"/>
    </row>
    <row r="18" spans="1:11" x14ac:dyDescent="0.25">
      <c r="A18" s="11" t="s">
        <v>69</v>
      </c>
      <c r="B18" s="5">
        <v>2</v>
      </c>
      <c r="C18" s="11">
        <v>3862</v>
      </c>
      <c r="D18" s="11"/>
      <c r="E18" s="11">
        <v>2200</v>
      </c>
      <c r="F18" s="11">
        <v>96</v>
      </c>
      <c r="G18" s="4">
        <v>1288</v>
      </c>
      <c r="H18" s="8">
        <v>232</v>
      </c>
      <c r="I18" s="11">
        <v>50</v>
      </c>
      <c r="J18" s="13">
        <f t="shared" si="0"/>
        <v>4</v>
      </c>
      <c r="K18" s="11"/>
    </row>
    <row r="19" spans="1:11" x14ac:dyDescent="0.25">
      <c r="A19" s="11" t="s">
        <v>70</v>
      </c>
      <c r="B19" s="5">
        <v>1</v>
      </c>
      <c r="C19" s="11"/>
      <c r="D19" s="11"/>
      <c r="E19" s="11"/>
      <c r="F19" s="11"/>
      <c r="G19" s="4"/>
      <c r="H19" s="8"/>
      <c r="I19" s="11"/>
      <c r="J19" s="13">
        <f t="shared" si="0"/>
        <v>0</v>
      </c>
      <c r="K19" s="11"/>
    </row>
    <row r="20" spans="1:11" x14ac:dyDescent="0.25">
      <c r="A20" s="11" t="s">
        <v>71</v>
      </c>
      <c r="B20" s="5">
        <v>1</v>
      </c>
      <c r="C20" s="11"/>
      <c r="D20" s="11"/>
      <c r="E20" s="11"/>
      <c r="F20" s="11"/>
      <c r="G20" s="4"/>
      <c r="H20" s="8"/>
      <c r="I20" s="11"/>
      <c r="J20" s="13">
        <f t="shared" si="0"/>
        <v>0</v>
      </c>
      <c r="K20" s="11"/>
    </row>
    <row r="21" spans="1:11" x14ac:dyDescent="0.25">
      <c r="A21" s="11" t="s">
        <v>43</v>
      </c>
      <c r="B21" s="5">
        <v>1</v>
      </c>
      <c r="C21" s="11">
        <v>1931</v>
      </c>
      <c r="D21" s="11"/>
      <c r="E21" s="11">
        <v>1100</v>
      </c>
      <c r="F21" s="11">
        <v>48</v>
      </c>
      <c r="G21" s="4">
        <v>644</v>
      </c>
      <c r="H21" s="8">
        <v>116</v>
      </c>
      <c r="I21" s="11">
        <v>25</v>
      </c>
      <c r="J21" s="13">
        <f t="shared" si="0"/>
        <v>2</v>
      </c>
      <c r="K21" s="11"/>
    </row>
    <row r="22" spans="1:11" x14ac:dyDescent="0.25">
      <c r="A22" s="11" t="s">
        <v>44</v>
      </c>
      <c r="B22" s="5"/>
      <c r="C22" s="11"/>
      <c r="D22" s="11"/>
      <c r="E22" s="11"/>
      <c r="F22" s="11"/>
      <c r="G22" s="4"/>
      <c r="H22" s="8"/>
      <c r="I22" s="11"/>
      <c r="J22" s="13">
        <f t="shared" si="0"/>
        <v>0</v>
      </c>
      <c r="K22" s="11"/>
    </row>
    <row r="23" spans="1:11" x14ac:dyDescent="0.25">
      <c r="A23" s="11" t="s">
        <v>72</v>
      </c>
      <c r="B23" s="5"/>
      <c r="C23" s="11"/>
      <c r="D23" s="11"/>
      <c r="E23" s="11"/>
      <c r="F23" s="11"/>
      <c r="G23" s="4"/>
      <c r="H23" s="8"/>
      <c r="I23" s="11"/>
      <c r="J23" s="13">
        <f t="shared" si="0"/>
        <v>0</v>
      </c>
      <c r="K23" s="11"/>
    </row>
    <row r="24" spans="1:11" x14ac:dyDescent="0.25">
      <c r="A24" s="11" t="s">
        <v>73</v>
      </c>
      <c r="B24" s="5"/>
      <c r="C24" s="11"/>
      <c r="D24" s="11"/>
      <c r="E24" s="11"/>
      <c r="F24" s="11"/>
      <c r="G24" s="4"/>
      <c r="H24" s="8"/>
      <c r="I24" s="11"/>
      <c r="J24" s="13">
        <f t="shared" si="0"/>
        <v>0</v>
      </c>
      <c r="K24" s="11"/>
    </row>
    <row r="25" spans="1:11" x14ac:dyDescent="0.25">
      <c r="A25" s="11" t="s">
        <v>74</v>
      </c>
      <c r="B25" s="5">
        <v>9</v>
      </c>
      <c r="C25" s="11">
        <v>17379</v>
      </c>
      <c r="D25" s="11"/>
      <c r="E25" s="11">
        <v>10000</v>
      </c>
      <c r="F25" s="11">
        <v>432</v>
      </c>
      <c r="G25" s="4">
        <v>5796</v>
      </c>
      <c r="H25" s="8">
        <v>1044</v>
      </c>
      <c r="I25" s="11">
        <v>225</v>
      </c>
      <c r="J25" s="13">
        <f t="shared" si="0"/>
        <v>118</v>
      </c>
      <c r="K25" s="11"/>
    </row>
    <row r="26" spans="1:11" x14ac:dyDescent="0.25">
      <c r="A26" s="11" t="s">
        <v>75</v>
      </c>
      <c r="B26" s="5">
        <v>8</v>
      </c>
      <c r="C26" s="11">
        <v>15448</v>
      </c>
      <c r="D26" s="11"/>
      <c r="E26" s="11">
        <v>10000</v>
      </c>
      <c r="F26" s="11">
        <v>384</v>
      </c>
      <c r="G26" s="4">
        <v>5152</v>
      </c>
      <c r="H26" s="8">
        <v>928</v>
      </c>
      <c r="I26" s="11">
        <v>200</v>
      </c>
      <c r="J26" s="13">
        <f t="shared" si="0"/>
        <v>1216</v>
      </c>
      <c r="K26" s="11"/>
    </row>
    <row r="27" spans="1:11" x14ac:dyDescent="0.25">
      <c r="A27" s="11" t="s">
        <v>76</v>
      </c>
      <c r="B27" s="5"/>
      <c r="C27" s="11"/>
      <c r="D27" s="11"/>
      <c r="E27" s="11"/>
      <c r="F27" s="11"/>
      <c r="G27" s="4"/>
      <c r="H27" s="8"/>
      <c r="I27" s="11"/>
      <c r="J27" s="13">
        <f t="shared" si="0"/>
        <v>0</v>
      </c>
      <c r="K27" s="11"/>
    </row>
    <row r="28" spans="1:11" x14ac:dyDescent="0.25">
      <c r="A28" s="11" t="s">
        <v>77</v>
      </c>
      <c r="B28" s="5"/>
      <c r="C28" s="11"/>
      <c r="D28" s="11"/>
      <c r="E28" s="11"/>
      <c r="F28" s="11"/>
      <c r="G28" s="4"/>
      <c r="H28" s="8"/>
      <c r="I28" s="11"/>
      <c r="J28" s="13">
        <f t="shared" si="0"/>
        <v>0</v>
      </c>
      <c r="K28" s="11"/>
    </row>
    <row r="29" spans="1:11" x14ac:dyDescent="0.25">
      <c r="A29" s="24" t="s">
        <v>78</v>
      </c>
      <c r="B29" s="5">
        <v>1</v>
      </c>
      <c r="C29" s="11">
        <v>1931</v>
      </c>
      <c r="D29" s="11">
        <v>600</v>
      </c>
      <c r="E29" s="11">
        <v>464</v>
      </c>
      <c r="F29" s="11">
        <v>48</v>
      </c>
      <c r="G29" s="4">
        <v>644</v>
      </c>
      <c r="H29" s="8">
        <v>116</v>
      </c>
      <c r="I29" s="11">
        <v>25</v>
      </c>
      <c r="J29" s="25">
        <f t="shared" si="0"/>
        <v>-5</v>
      </c>
      <c r="K29" s="11">
        <v>29</v>
      </c>
    </row>
    <row r="30" spans="1:11" x14ac:dyDescent="0.25">
      <c r="A30" s="24" t="s">
        <v>79</v>
      </c>
      <c r="B30" s="5">
        <v>1</v>
      </c>
      <c r="C30" s="11">
        <v>1931</v>
      </c>
      <c r="D30" s="11"/>
      <c r="E30" s="11">
        <v>1090</v>
      </c>
      <c r="F30" s="11">
        <v>48</v>
      </c>
      <c r="G30" s="4">
        <v>644</v>
      </c>
      <c r="H30" s="8">
        <v>116</v>
      </c>
      <c r="I30" s="11">
        <v>25</v>
      </c>
      <c r="J30" s="25">
        <f t="shared" si="0"/>
        <v>-2</v>
      </c>
      <c r="K30" s="11">
        <v>6</v>
      </c>
    </row>
    <row r="31" spans="1:11" x14ac:dyDescent="0.25">
      <c r="A31" s="24" t="s">
        <v>80</v>
      </c>
      <c r="B31" s="5">
        <v>1</v>
      </c>
      <c r="C31" s="11">
        <v>1931</v>
      </c>
      <c r="D31" s="11"/>
      <c r="E31" s="11">
        <v>1096</v>
      </c>
      <c r="F31" s="11">
        <v>48</v>
      </c>
      <c r="G31" s="4">
        <v>644</v>
      </c>
      <c r="H31" s="8">
        <v>116</v>
      </c>
      <c r="I31" s="11">
        <v>25</v>
      </c>
      <c r="J31" s="25">
        <f t="shared" si="0"/>
        <v>-2</v>
      </c>
      <c r="K31" s="11"/>
    </row>
    <row r="32" spans="1:11" x14ac:dyDescent="0.25">
      <c r="A32" s="11" t="s">
        <v>81</v>
      </c>
      <c r="B32" s="5">
        <v>1</v>
      </c>
      <c r="C32" s="11">
        <v>1931</v>
      </c>
      <c r="D32" s="11">
        <v>1219</v>
      </c>
      <c r="E32" s="11">
        <v>44</v>
      </c>
      <c r="F32" s="11">
        <v>48</v>
      </c>
      <c r="G32" s="4">
        <v>644</v>
      </c>
      <c r="H32" s="8">
        <v>116</v>
      </c>
      <c r="I32" s="11">
        <v>25</v>
      </c>
      <c r="J32" s="13">
        <f t="shared" si="0"/>
        <v>165</v>
      </c>
      <c r="K32" s="11"/>
    </row>
    <row r="33" spans="1:11" x14ac:dyDescent="0.25">
      <c r="A33" s="11" t="s">
        <v>82</v>
      </c>
      <c r="B33" s="5">
        <v>1</v>
      </c>
      <c r="C33" s="11">
        <v>1931</v>
      </c>
      <c r="D33" s="11">
        <v>1080</v>
      </c>
      <c r="E33" s="11">
        <v>246</v>
      </c>
      <c r="F33" s="11">
        <v>48</v>
      </c>
      <c r="G33" s="4">
        <v>644</v>
      </c>
      <c r="H33" s="8">
        <v>116</v>
      </c>
      <c r="I33" s="11">
        <v>25</v>
      </c>
      <c r="J33" s="13">
        <f t="shared" si="0"/>
        <v>228</v>
      </c>
      <c r="K33" s="11"/>
    </row>
    <row r="34" spans="1:11" x14ac:dyDescent="0.25">
      <c r="A34" s="11" t="s">
        <v>83</v>
      </c>
      <c r="B34" s="5">
        <v>1</v>
      </c>
      <c r="C34" s="11">
        <v>1931</v>
      </c>
      <c r="D34" s="11">
        <v>800</v>
      </c>
      <c r="E34" s="11">
        <v>296</v>
      </c>
      <c r="F34" s="11">
        <v>48</v>
      </c>
      <c r="G34" s="4">
        <v>644</v>
      </c>
      <c r="H34" s="8">
        <v>116</v>
      </c>
      <c r="I34" s="11">
        <v>25</v>
      </c>
      <c r="J34" s="13">
        <f t="shared" si="0"/>
        <v>-1</v>
      </c>
      <c r="K34" s="11">
        <v>1</v>
      </c>
    </row>
    <row r="35" spans="1:11" x14ac:dyDescent="0.25">
      <c r="A35" s="11" t="s">
        <v>84</v>
      </c>
      <c r="B35" s="5">
        <v>1</v>
      </c>
      <c r="C35" s="11">
        <v>1931</v>
      </c>
      <c r="D35" s="11"/>
      <c r="E35" s="11">
        <v>1072</v>
      </c>
      <c r="F35" s="11">
        <v>48</v>
      </c>
      <c r="G35" s="4">
        <v>644</v>
      </c>
      <c r="H35" s="8">
        <v>116</v>
      </c>
      <c r="I35" s="11">
        <v>25</v>
      </c>
      <c r="J35" s="13">
        <f t="shared" si="0"/>
        <v>0</v>
      </c>
      <c r="K35" s="11">
        <v>26</v>
      </c>
    </row>
    <row r="36" spans="1:11" x14ac:dyDescent="0.25">
      <c r="A36" s="11" t="s">
        <v>85</v>
      </c>
      <c r="B36" s="5">
        <v>1</v>
      </c>
      <c r="C36" s="11">
        <v>1931</v>
      </c>
      <c r="D36" s="11">
        <v>931</v>
      </c>
      <c r="E36" s="11">
        <v>224</v>
      </c>
      <c r="F36" s="11"/>
      <c r="G36" s="4">
        <v>644</v>
      </c>
      <c r="H36" s="8">
        <v>116</v>
      </c>
      <c r="I36" s="11">
        <v>25</v>
      </c>
      <c r="J36" s="13">
        <f t="shared" si="0"/>
        <v>9</v>
      </c>
      <c r="K36" s="11"/>
    </row>
    <row r="37" spans="1:11" x14ac:dyDescent="0.25">
      <c r="A37" s="11" t="s">
        <v>86</v>
      </c>
      <c r="B37" s="5">
        <v>1</v>
      </c>
      <c r="C37" s="11">
        <v>1931</v>
      </c>
      <c r="D37" s="11">
        <v>332</v>
      </c>
      <c r="E37" s="11">
        <v>749</v>
      </c>
      <c r="F37" s="11">
        <v>48</v>
      </c>
      <c r="G37" s="4">
        <v>644</v>
      </c>
      <c r="H37" s="8">
        <v>116</v>
      </c>
      <c r="I37" s="11">
        <v>25</v>
      </c>
      <c r="J37" s="13">
        <f t="shared" si="0"/>
        <v>2</v>
      </c>
      <c r="K37" s="11">
        <v>19</v>
      </c>
    </row>
    <row r="38" spans="1:11" x14ac:dyDescent="0.25">
      <c r="A38" s="11" t="s">
        <v>87</v>
      </c>
      <c r="B38" s="5">
        <v>1</v>
      </c>
      <c r="C38" s="11">
        <v>1931</v>
      </c>
      <c r="D38" s="11">
        <v>410</v>
      </c>
      <c r="E38" s="11">
        <v>690</v>
      </c>
      <c r="F38" s="11">
        <v>48</v>
      </c>
      <c r="G38" s="4">
        <v>644</v>
      </c>
      <c r="H38" s="8">
        <v>116</v>
      </c>
      <c r="I38" s="11">
        <v>25</v>
      </c>
      <c r="J38" s="13">
        <f t="shared" si="0"/>
        <v>2</v>
      </c>
      <c r="K38" s="11"/>
    </row>
    <row r="39" spans="1:11" x14ac:dyDescent="0.25">
      <c r="A39" s="11" t="s">
        <v>88</v>
      </c>
      <c r="B39" s="5">
        <v>1</v>
      </c>
      <c r="C39" s="11">
        <v>1931</v>
      </c>
      <c r="D39" s="11">
        <v>2000</v>
      </c>
      <c r="E39" s="11"/>
      <c r="F39" s="11">
        <v>48</v>
      </c>
      <c r="G39" s="4">
        <v>644</v>
      </c>
      <c r="H39" s="8">
        <v>116</v>
      </c>
      <c r="I39" s="11">
        <v>25</v>
      </c>
      <c r="J39" s="11">
        <f t="shared" si="0"/>
        <v>902</v>
      </c>
      <c r="K39" s="11"/>
    </row>
  </sheetData>
  <mergeCells count="1">
    <mergeCell ref="D4:E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workbookViewId="0">
      <selection activeCell="D53" sqref="D53"/>
    </sheetView>
  </sheetViews>
  <sheetFormatPr defaultColWidth="8.88671875" defaultRowHeight="13.8" x14ac:dyDescent="0.25"/>
  <cols>
    <col min="1" max="1" width="26.6640625" style="7" customWidth="1"/>
    <col min="2" max="2" width="8.88671875" style="7"/>
    <col min="3" max="3" width="14.109375" style="7" customWidth="1"/>
    <col min="4" max="4" width="13.33203125" style="7" customWidth="1"/>
    <col min="5" max="16384" width="8.88671875" style="7"/>
  </cols>
  <sheetData>
    <row r="1" spans="1:6" s="12" customFormat="1" ht="25.2" customHeight="1" x14ac:dyDescent="0.25">
      <c r="A1" s="9" t="s">
        <v>35</v>
      </c>
    </row>
    <row r="2" spans="1:6" x14ac:dyDescent="0.25">
      <c r="A2" s="1" t="s">
        <v>1</v>
      </c>
      <c r="B2" s="1"/>
      <c r="C2" s="1" t="s">
        <v>2</v>
      </c>
      <c r="D2" s="1"/>
    </row>
    <row r="3" spans="1:6" x14ac:dyDescent="0.25">
      <c r="A3" s="1" t="s">
        <v>3</v>
      </c>
      <c r="B3" s="1">
        <f>B2-D2</f>
        <v>0</v>
      </c>
      <c r="C3" s="1"/>
      <c r="D3" s="1"/>
    </row>
    <row r="4" spans="1:6" ht="42" x14ac:dyDescent="0.25">
      <c r="A4" s="3" t="s">
        <v>4</v>
      </c>
      <c r="B4" s="3" t="s">
        <v>5</v>
      </c>
      <c r="C4" s="22" t="s">
        <v>6</v>
      </c>
      <c r="D4" s="23"/>
      <c r="E4" s="3" t="s">
        <v>8</v>
      </c>
      <c r="F4" s="3" t="s">
        <v>9</v>
      </c>
    </row>
    <row r="5" spans="1:6" x14ac:dyDescent="0.25">
      <c r="A5" s="2"/>
      <c r="B5" s="11"/>
      <c r="C5" s="1" t="s">
        <v>10</v>
      </c>
      <c r="D5" s="1" t="s">
        <v>11</v>
      </c>
      <c r="E5" s="8"/>
      <c r="F5" s="8"/>
    </row>
    <row r="6" spans="1:6" x14ac:dyDescent="0.25">
      <c r="A6" s="11" t="s">
        <v>89</v>
      </c>
      <c r="B6" s="11"/>
      <c r="C6" s="11"/>
      <c r="D6" s="11"/>
      <c r="E6" s="11"/>
      <c r="F6" s="11">
        <f>E6+D6+C6-B6</f>
        <v>0</v>
      </c>
    </row>
    <row r="7" spans="1:6" x14ac:dyDescent="0.25">
      <c r="A7" s="11" t="s">
        <v>89</v>
      </c>
      <c r="B7" s="11"/>
      <c r="C7" s="11"/>
      <c r="D7" s="11"/>
      <c r="E7" s="11"/>
      <c r="F7" s="11">
        <f t="shared" ref="F7:F39" si="0">E7+D7+C7-B7</f>
        <v>0</v>
      </c>
    </row>
    <row r="8" spans="1:6" x14ac:dyDescent="0.25">
      <c r="A8" s="11" t="s">
        <v>90</v>
      </c>
      <c r="B8" s="11">
        <v>1550</v>
      </c>
      <c r="C8" s="11">
        <v>1000</v>
      </c>
      <c r="D8" s="11">
        <v>950</v>
      </c>
      <c r="E8" s="11"/>
      <c r="F8" s="11">
        <f t="shared" si="0"/>
        <v>400</v>
      </c>
    </row>
    <row r="9" spans="1:6" x14ac:dyDescent="0.25">
      <c r="A9" s="11" t="s">
        <v>19</v>
      </c>
      <c r="B9" s="11">
        <v>155</v>
      </c>
      <c r="C9" s="11">
        <v>0</v>
      </c>
      <c r="D9" s="11">
        <v>170</v>
      </c>
      <c r="E9" s="11"/>
      <c r="F9" s="11">
        <f t="shared" si="0"/>
        <v>15</v>
      </c>
    </row>
    <row r="10" spans="1:6" x14ac:dyDescent="0.25">
      <c r="A10" s="11" t="s">
        <v>91</v>
      </c>
      <c r="B10" s="11"/>
      <c r="C10" s="11"/>
      <c r="D10" s="11"/>
      <c r="E10" s="11"/>
      <c r="F10" s="11">
        <f t="shared" si="0"/>
        <v>0</v>
      </c>
    </row>
    <row r="11" spans="1:6" x14ac:dyDescent="0.25">
      <c r="A11" s="11" t="s">
        <v>92</v>
      </c>
      <c r="B11" s="11"/>
      <c r="C11" s="11"/>
      <c r="D11" s="11"/>
      <c r="E11" s="11"/>
      <c r="F11" s="11">
        <f t="shared" si="0"/>
        <v>0</v>
      </c>
    </row>
    <row r="12" spans="1:6" x14ac:dyDescent="0.25">
      <c r="A12" s="11" t="s">
        <v>93</v>
      </c>
      <c r="B12" s="11"/>
      <c r="C12" s="11"/>
      <c r="D12" s="11"/>
      <c r="E12" s="11"/>
      <c r="F12" s="11">
        <f t="shared" si="0"/>
        <v>0</v>
      </c>
    </row>
    <row r="13" spans="1:6" x14ac:dyDescent="0.25">
      <c r="A13" s="11" t="s">
        <v>94</v>
      </c>
      <c r="B13" s="11"/>
      <c r="C13" s="11"/>
      <c r="D13" s="11"/>
      <c r="E13" s="11"/>
      <c r="F13" s="11">
        <f t="shared" si="0"/>
        <v>0</v>
      </c>
    </row>
    <row r="14" spans="1:6" x14ac:dyDescent="0.25">
      <c r="A14" s="11" t="s">
        <v>95</v>
      </c>
      <c r="B14" s="11"/>
      <c r="C14" s="11"/>
      <c r="D14" s="11"/>
      <c r="E14" s="11"/>
      <c r="F14" s="11">
        <f t="shared" si="0"/>
        <v>0</v>
      </c>
    </row>
    <row r="15" spans="1:6" x14ac:dyDescent="0.25">
      <c r="A15" s="11" t="s">
        <v>96</v>
      </c>
      <c r="B15" s="11">
        <v>1550</v>
      </c>
      <c r="C15" s="11">
        <v>600</v>
      </c>
      <c r="D15" s="11">
        <v>1150</v>
      </c>
      <c r="E15" s="11"/>
      <c r="F15" s="11">
        <f t="shared" si="0"/>
        <v>200</v>
      </c>
    </row>
    <row r="16" spans="1:6" x14ac:dyDescent="0.25">
      <c r="A16" s="11" t="s">
        <v>97</v>
      </c>
      <c r="B16" s="11"/>
      <c r="C16" s="11"/>
      <c r="D16" s="11"/>
      <c r="E16" s="11"/>
      <c r="F16" s="11">
        <f t="shared" si="0"/>
        <v>0</v>
      </c>
    </row>
    <row r="17" spans="1:6" x14ac:dyDescent="0.25">
      <c r="A17" s="11" t="s">
        <v>98</v>
      </c>
      <c r="B17" s="11"/>
      <c r="C17" s="11"/>
      <c r="D17" s="11"/>
      <c r="E17" s="11"/>
      <c r="F17" s="11">
        <f t="shared" si="0"/>
        <v>0</v>
      </c>
    </row>
    <row r="18" spans="1:6" x14ac:dyDescent="0.25">
      <c r="A18" s="11" t="s">
        <v>99</v>
      </c>
      <c r="B18" s="11">
        <v>1550</v>
      </c>
      <c r="C18" s="11">
        <v>960</v>
      </c>
      <c r="D18" s="11">
        <v>590</v>
      </c>
      <c r="E18" s="11"/>
      <c r="F18" s="11">
        <f t="shared" si="0"/>
        <v>0</v>
      </c>
    </row>
    <row r="19" spans="1:6" x14ac:dyDescent="0.25">
      <c r="A19" s="11" t="s">
        <v>100</v>
      </c>
      <c r="B19" s="11"/>
      <c r="C19" s="11"/>
      <c r="D19" s="11"/>
      <c r="E19" s="11"/>
      <c r="F19" s="11">
        <f t="shared" si="0"/>
        <v>0</v>
      </c>
    </row>
    <row r="20" spans="1:6" x14ac:dyDescent="0.25">
      <c r="A20" s="11" t="s">
        <v>101</v>
      </c>
      <c r="B20" s="11"/>
      <c r="C20" s="11"/>
      <c r="D20" s="11"/>
      <c r="E20" s="11"/>
      <c r="F20" s="11">
        <f t="shared" si="0"/>
        <v>0</v>
      </c>
    </row>
    <row r="21" spans="1:6" x14ac:dyDescent="0.25">
      <c r="A21" s="11" t="s">
        <v>102</v>
      </c>
      <c r="B21" s="11"/>
      <c r="C21" s="11"/>
      <c r="D21" s="11"/>
      <c r="E21" s="11"/>
      <c r="F21" s="11">
        <f t="shared" si="0"/>
        <v>0</v>
      </c>
    </row>
    <row r="22" spans="1:6" x14ac:dyDescent="0.25">
      <c r="A22" s="11" t="s">
        <v>15</v>
      </c>
      <c r="B22" s="11">
        <v>1550</v>
      </c>
      <c r="C22" s="11">
        <v>1000</v>
      </c>
      <c r="D22" s="11">
        <v>1000</v>
      </c>
      <c r="E22" s="11"/>
      <c r="F22" s="11">
        <f t="shared" si="0"/>
        <v>450</v>
      </c>
    </row>
    <row r="23" spans="1:6" x14ac:dyDescent="0.25">
      <c r="A23" s="11" t="s">
        <v>14</v>
      </c>
      <c r="B23" s="11">
        <v>155</v>
      </c>
      <c r="C23" s="11">
        <v>0</v>
      </c>
      <c r="D23" s="11">
        <v>800</v>
      </c>
      <c r="E23" s="11"/>
      <c r="F23" s="11">
        <f t="shared" si="0"/>
        <v>645</v>
      </c>
    </row>
    <row r="24" spans="1:6" x14ac:dyDescent="0.25">
      <c r="A24" s="11" t="s">
        <v>103</v>
      </c>
      <c r="B24" s="11"/>
      <c r="C24" s="11"/>
      <c r="D24" s="11"/>
      <c r="E24" s="11"/>
      <c r="F24" s="11">
        <f t="shared" si="0"/>
        <v>0</v>
      </c>
    </row>
    <row r="25" spans="1:6" x14ac:dyDescent="0.25">
      <c r="A25" s="11" t="s">
        <v>13</v>
      </c>
      <c r="B25" s="11">
        <v>1550</v>
      </c>
      <c r="C25" s="11">
        <v>0</v>
      </c>
      <c r="D25" s="11">
        <v>2000</v>
      </c>
      <c r="E25" s="11"/>
      <c r="F25" s="11">
        <f t="shared" si="0"/>
        <v>450</v>
      </c>
    </row>
    <row r="26" spans="1:6" x14ac:dyDescent="0.25">
      <c r="A26" s="11" t="s">
        <v>12</v>
      </c>
      <c r="B26" s="11">
        <v>1550</v>
      </c>
      <c r="C26" s="11">
        <v>0</v>
      </c>
      <c r="D26" s="11">
        <v>5000</v>
      </c>
      <c r="E26" s="11"/>
      <c r="F26" s="11">
        <f t="shared" si="0"/>
        <v>3450</v>
      </c>
    </row>
    <row r="27" spans="1:6" x14ac:dyDescent="0.25">
      <c r="A27" s="11" t="s">
        <v>16</v>
      </c>
      <c r="B27" s="11">
        <v>1550</v>
      </c>
      <c r="C27" s="11">
        <v>1000</v>
      </c>
      <c r="D27" s="11">
        <v>1500</v>
      </c>
      <c r="E27" s="11"/>
      <c r="F27" s="11">
        <f t="shared" si="0"/>
        <v>950</v>
      </c>
    </row>
    <row r="28" spans="1:6" x14ac:dyDescent="0.25">
      <c r="A28" s="11" t="s">
        <v>104</v>
      </c>
      <c r="B28" s="11">
        <v>1550</v>
      </c>
      <c r="C28" s="11">
        <v>0</v>
      </c>
      <c r="D28" s="11">
        <v>1800</v>
      </c>
      <c r="E28" s="11"/>
      <c r="F28" s="11">
        <f t="shared" si="0"/>
        <v>250</v>
      </c>
    </row>
    <row r="29" spans="1:6" x14ac:dyDescent="0.25">
      <c r="A29" s="11" t="s">
        <v>17</v>
      </c>
      <c r="B29" s="11">
        <v>1550</v>
      </c>
      <c r="C29" s="11">
        <v>1000</v>
      </c>
      <c r="D29" s="11">
        <v>900</v>
      </c>
      <c r="E29" s="11"/>
      <c r="F29" s="11">
        <f t="shared" si="0"/>
        <v>350</v>
      </c>
    </row>
    <row r="30" spans="1:6" x14ac:dyDescent="0.25">
      <c r="A30" s="11" t="s">
        <v>105</v>
      </c>
      <c r="B30" s="11"/>
      <c r="C30" s="11"/>
      <c r="D30" s="11"/>
      <c r="E30" s="11"/>
      <c r="F30" s="11">
        <f t="shared" si="0"/>
        <v>0</v>
      </c>
    </row>
    <row r="31" spans="1:6" x14ac:dyDescent="0.25">
      <c r="A31" s="11" t="s">
        <v>106</v>
      </c>
      <c r="B31" s="11">
        <v>1550</v>
      </c>
      <c r="C31" s="11">
        <v>600</v>
      </c>
      <c r="D31" s="11">
        <v>1200</v>
      </c>
      <c r="E31" s="11"/>
      <c r="F31" s="11">
        <f t="shared" si="0"/>
        <v>250</v>
      </c>
    </row>
    <row r="32" spans="1:6" x14ac:dyDescent="0.25">
      <c r="A32" s="11" t="s">
        <v>20</v>
      </c>
      <c r="B32" s="11">
        <v>1500</v>
      </c>
      <c r="C32" s="11">
        <v>640</v>
      </c>
      <c r="D32" s="11">
        <v>1280</v>
      </c>
      <c r="E32" s="11"/>
      <c r="F32" s="11">
        <f t="shared" si="0"/>
        <v>420</v>
      </c>
    </row>
    <row r="33" spans="1:6" x14ac:dyDescent="0.25">
      <c r="A33" s="11" t="s">
        <v>107</v>
      </c>
      <c r="B33" s="11"/>
      <c r="C33" s="11"/>
      <c r="D33" s="11"/>
      <c r="E33" s="11"/>
      <c r="F33" s="11">
        <f t="shared" si="0"/>
        <v>0</v>
      </c>
    </row>
    <row r="34" spans="1:6" x14ac:dyDescent="0.25">
      <c r="A34" s="11" t="s">
        <v>108</v>
      </c>
      <c r="B34" s="11">
        <v>1550</v>
      </c>
      <c r="C34" s="11">
        <v>1000</v>
      </c>
      <c r="D34" s="11">
        <v>1000</v>
      </c>
      <c r="E34" s="11"/>
      <c r="F34" s="11">
        <f t="shared" si="0"/>
        <v>450</v>
      </c>
    </row>
    <row r="35" spans="1:6" x14ac:dyDescent="0.25">
      <c r="A35" s="11" t="s">
        <v>109</v>
      </c>
      <c r="B35" s="11">
        <v>1550</v>
      </c>
      <c r="C35" s="11">
        <v>0</v>
      </c>
      <c r="D35" s="11">
        <v>1900</v>
      </c>
      <c r="E35" s="11"/>
      <c r="F35" s="11">
        <f t="shared" si="0"/>
        <v>350</v>
      </c>
    </row>
    <row r="36" spans="1:6" x14ac:dyDescent="0.25">
      <c r="A36" s="11" t="s">
        <v>110</v>
      </c>
      <c r="B36" s="11">
        <v>1550</v>
      </c>
      <c r="C36" s="11">
        <v>1000</v>
      </c>
      <c r="D36" s="11">
        <v>1000</v>
      </c>
      <c r="E36" s="11"/>
      <c r="F36" s="11">
        <f t="shared" si="0"/>
        <v>450</v>
      </c>
    </row>
    <row r="37" spans="1:6" x14ac:dyDescent="0.25">
      <c r="A37" s="11" t="s">
        <v>18</v>
      </c>
      <c r="B37" s="11">
        <v>512</v>
      </c>
      <c r="C37" s="11">
        <v>500</v>
      </c>
      <c r="D37" s="11">
        <v>500</v>
      </c>
      <c r="E37" s="11"/>
      <c r="F37" s="11">
        <f t="shared" si="0"/>
        <v>488</v>
      </c>
    </row>
    <row r="38" spans="1:6" x14ac:dyDescent="0.25">
      <c r="A38" s="11" t="s">
        <v>111</v>
      </c>
      <c r="B38" s="11"/>
      <c r="C38" s="11"/>
      <c r="D38" s="11"/>
      <c r="E38" s="11"/>
      <c r="F38" s="11">
        <f t="shared" si="0"/>
        <v>0</v>
      </c>
    </row>
    <row r="39" spans="1:6" x14ac:dyDescent="0.25">
      <c r="A39" s="11" t="s">
        <v>112</v>
      </c>
      <c r="B39" s="11">
        <v>750</v>
      </c>
      <c r="C39" s="11">
        <v>0</v>
      </c>
      <c r="D39" s="11">
        <v>752</v>
      </c>
      <c r="E39" s="11"/>
      <c r="F39" s="11">
        <f t="shared" si="0"/>
        <v>2</v>
      </c>
    </row>
    <row r="55" ht="9" customHeight="1" x14ac:dyDescent="0.25"/>
  </sheetData>
  <mergeCells count="1">
    <mergeCell ref="C4:D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SPK,MIC D6</vt:lpstr>
      <vt:lpstr>ĐAI ĐẦU D6</vt:lpstr>
      <vt:lpstr>LẮP RÁP D6</vt:lpstr>
      <vt:lpstr>ĐÓNG GÓI D6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 TRINH(LUXSHARE-ICT)</dc:creator>
  <cp:lastModifiedBy>KENI TRINH(LUXSHARE-ICT)</cp:lastModifiedBy>
  <dcterms:created xsi:type="dcterms:W3CDTF">2015-06-05T18:17:20Z</dcterms:created>
  <dcterms:modified xsi:type="dcterms:W3CDTF">2026-10-02T13:02:55Z</dcterms:modified>
</cp:coreProperties>
</file>